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herrera\Desktop\ProyectoIngeneoContratos\Proyecto_Gestion_Contratos\Changes-DAI\"/>
    </mc:Choice>
  </mc:AlternateContent>
  <bookViews>
    <workbookView xWindow="11160" yWindow="450" windowWidth="19560" windowHeight="7950"/>
  </bookViews>
  <sheets>
    <sheet name="Hoja1" sheetId="6" r:id="rId1"/>
    <sheet name="Tiempos" sheetId="2" r:id="rId2"/>
    <sheet name="Documentación" sheetId="5" r:id="rId3"/>
    <sheet name="Lista" sheetId="3" r:id="rId4"/>
  </sheets>
  <functionGroups builtInGroupCount="18"/>
  <definedNames>
    <definedName name="Comentarios">Lista!$B$2:$B$16</definedName>
    <definedName name="Componentes">Lista!$A$2:$A$16</definedName>
    <definedName name="Tecnologias">Lista!$C$1:$Q$1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6" l="1"/>
  <c r="F23" i="2" l="1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G28" i="2"/>
  <c r="G96" i="2"/>
  <c r="G75" i="2"/>
  <c r="G53" i="2"/>
  <c r="G50" i="2"/>
  <c r="G45" i="2"/>
  <c r="G36" i="2"/>
  <c r="G39" i="2"/>
  <c r="G83" i="2"/>
  <c r="G61" i="2"/>
  <c r="G66" i="2"/>
  <c r="G84" i="2"/>
  <c r="G72" i="2"/>
  <c r="G89" i="2"/>
  <c r="G64" i="2"/>
  <c r="G59" i="2"/>
  <c r="G37" i="2"/>
  <c r="G95" i="2"/>
  <c r="G85" i="2"/>
  <c r="G93" i="2"/>
  <c r="G82" i="2"/>
  <c r="G42" i="2"/>
  <c r="G67" i="2"/>
  <c r="G60" i="2"/>
  <c r="G87" i="2"/>
  <c r="G30" i="2"/>
  <c r="G24" i="2"/>
  <c r="G3" i="2"/>
  <c r="G47" i="2"/>
  <c r="G68" i="2"/>
  <c r="G26" i="2"/>
  <c r="G38" i="2"/>
  <c r="G40" i="2"/>
  <c r="G2" i="2"/>
  <c r="G71" i="2"/>
  <c r="G98" i="2"/>
  <c r="G44" i="2"/>
  <c r="G55" i="2"/>
  <c r="G91" i="2"/>
  <c r="G77" i="2"/>
  <c r="G34" i="2"/>
  <c r="G41" i="2"/>
  <c r="G92" i="2"/>
  <c r="G74" i="2"/>
  <c r="G62" i="2"/>
  <c r="G88" i="2"/>
  <c r="G80" i="2"/>
  <c r="G49" i="2"/>
  <c r="G100" i="2"/>
  <c r="G90" i="2"/>
  <c r="G70" i="2"/>
  <c r="G23" i="2"/>
  <c r="G33" i="2"/>
  <c r="G35" i="2"/>
  <c r="G25" i="2"/>
  <c r="G76" i="2"/>
  <c r="G56" i="2"/>
  <c r="G73" i="2"/>
  <c r="G32" i="2"/>
  <c r="G43" i="2"/>
  <c r="G94" i="2"/>
  <c r="G63" i="2"/>
  <c r="G99" i="2"/>
  <c r="G81" i="2"/>
  <c r="G48" i="2"/>
  <c r="G51" i="2"/>
  <c r="G29" i="2"/>
  <c r="G79" i="2"/>
  <c r="G97" i="2"/>
  <c r="G54" i="2"/>
  <c r="G57" i="2"/>
  <c r="G69" i="2"/>
  <c r="G27" i="2"/>
  <c r="G78" i="2"/>
  <c r="G31" i="2"/>
  <c r="G52" i="2"/>
  <c r="G86" i="2"/>
  <c r="G58" i="2"/>
  <c r="G46" i="2"/>
  <c r="G65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E29" i="5"/>
  <c r="D29" i="5"/>
  <c r="G21" i="2"/>
  <c r="G17" i="2"/>
  <c r="G4" i="2"/>
  <c r="G7" i="2"/>
  <c r="G13" i="2"/>
  <c r="G5" i="2"/>
  <c r="G22" i="2"/>
  <c r="G15" i="2"/>
  <c r="G12" i="2"/>
  <c r="G20" i="2"/>
  <c r="G18" i="2"/>
  <c r="G10" i="2"/>
  <c r="G11" i="2"/>
  <c r="G19" i="2"/>
  <c r="G16" i="2"/>
  <c r="G9" i="2"/>
  <c r="G6" i="2"/>
  <c r="G8" i="2"/>
  <c r="G14" i="2"/>
  <c r="F2" i="2" l="1"/>
</calcChain>
</file>

<file path=xl/sharedStrings.xml><?xml version="1.0" encoding="utf-8"?>
<sst xmlns="http://schemas.openxmlformats.org/spreadsheetml/2006/main" count="146" uniqueCount="123">
  <si>
    <t>Componentes</t>
  </si>
  <si>
    <t>Comentario</t>
  </si>
  <si>
    <t>JAVA</t>
  </si>
  <si>
    <t>.NET</t>
  </si>
  <si>
    <t>NodeJS</t>
  </si>
  <si>
    <t>Symphony</t>
  </si>
  <si>
    <t>bootstrap</t>
  </si>
  <si>
    <t>SOA</t>
  </si>
  <si>
    <t>PL/SQL</t>
  </si>
  <si>
    <t>Shell Script</t>
  </si>
  <si>
    <t>AngularJS</t>
  </si>
  <si>
    <t>JSF</t>
  </si>
  <si>
    <t>PHP</t>
  </si>
  <si>
    <t>Perl Script</t>
  </si>
  <si>
    <t>Spring</t>
  </si>
  <si>
    <t>Monitoreo/soporte</t>
  </si>
  <si>
    <t>Bizflow</t>
  </si>
  <si>
    <t>GUI Básica</t>
  </si>
  <si>
    <t>Interfaz Gráfica comprendida por un CRUD</t>
  </si>
  <si>
    <t>GUI Media</t>
  </si>
  <si>
    <t xml:space="preserve">Interfaz Gráfica comprendida por un CRUD + lógica relacional entre diferente información de tablas </t>
  </si>
  <si>
    <t>GUI Avanzada</t>
  </si>
  <si>
    <t>Interfaz Gráfica comprendida por Inserciones, tablas, componentes visualizadores, exportación de reportes y consultas a nivel de clientes</t>
  </si>
  <si>
    <t>Core Básico</t>
  </si>
  <si>
    <t>Desarrollo de logica relacional para distribución de datos, iteraciones básicas y entrega de resultados operacionales, consultas basicas a tablas o servicios rest</t>
  </si>
  <si>
    <t>Core Medio</t>
  </si>
  <si>
    <t>Desarrollo de logica operacional para generar componentes de negocio relacionales, incluyendo operaciones y llamados a consultas complejos como son Stored procedures y lo relacionado a bases de datos relacionales (SQL)</t>
  </si>
  <si>
    <t>Core Avanzado</t>
  </si>
  <si>
    <t>Desarrollo de Logica operacional para generar componentes de negocio relacionales, incluyendo generación/consultas de servicios REST, SOA, Inserciones en diferentes bases de datos, interacción con tecnologias no comunes del mercado</t>
  </si>
  <si>
    <t>Acceso a datos Básico</t>
  </si>
  <si>
    <t>Consulta/Inseración/Actualización de datos básico (Script) simple de SQL</t>
  </si>
  <si>
    <t>Acceso a datos Medio</t>
  </si>
  <si>
    <t>Consulta/Inseración/Actualización de datos básico (Script) compuesto de SQL</t>
  </si>
  <si>
    <t>Acceso a datos Avanzado</t>
  </si>
  <si>
    <t>Consulta/Inseración/Actualización de datos básico (Script) compuesto de SQL, manejo de cursores, puntos de debug, entre otros</t>
  </si>
  <si>
    <t>Web Service Básico</t>
  </si>
  <si>
    <t>Creación de web service para consumo simple de servicios de lógica de negocio</t>
  </si>
  <si>
    <t>Web service Medio</t>
  </si>
  <si>
    <t>Creación de servicio web para interacción con diferentes plataformas y consoludación de resultados</t>
  </si>
  <si>
    <t>Web service Avanzado</t>
  </si>
  <si>
    <t>Creación de servicio web de consolidación de resultado y exposición del resultado en otro tipo de servicio</t>
  </si>
  <si>
    <t>Desarrollo Exogeno Basico</t>
  </si>
  <si>
    <t>Servicios de integración continua, consultoria o revision de codigo básico</t>
  </si>
  <si>
    <t>Desarrollo Exogenos Medio</t>
  </si>
  <si>
    <t>Servicios de Investigación de componentes, nuevas tecnologias o revisiones de BD</t>
  </si>
  <si>
    <t>Interacción con servicios de consultoria sobre equipos productivos, revision de logs, uso de estadisticas y trafico de red, tcpdump</t>
  </si>
  <si>
    <t>Componente</t>
  </si>
  <si>
    <t>Tiempo Propuesto</t>
  </si>
  <si>
    <t>Requerimiento</t>
  </si>
  <si>
    <t>Actividad</t>
  </si>
  <si>
    <t>Proceso</t>
  </si>
  <si>
    <t>Documentos</t>
  </si>
  <si>
    <t>Observaciones</t>
  </si>
  <si>
    <t>Administracion de Proyectos</t>
  </si>
  <si>
    <t>Propuesta Comercial</t>
  </si>
  <si>
    <t>0,5 a 1</t>
  </si>
  <si>
    <t>Cronograma</t>
  </si>
  <si>
    <t>Plan del proyecto</t>
  </si>
  <si>
    <t>Acta de inicio</t>
  </si>
  <si>
    <t>Acta de Entrega a Pruebas</t>
  </si>
  <si>
    <t>Acta de reunión</t>
  </si>
  <si>
    <t>Acta de entrega</t>
  </si>
  <si>
    <t>Extraccion De Requerimientos</t>
  </si>
  <si>
    <t>Analisis de Requisitos</t>
  </si>
  <si>
    <t>Por cada Requerimiento</t>
  </si>
  <si>
    <t>ECO</t>
  </si>
  <si>
    <t>Por requerimiento</t>
  </si>
  <si>
    <t>Casos de Uso</t>
  </si>
  <si>
    <t>1 a 9</t>
  </si>
  <si>
    <t>Por cada Caso de Uso</t>
  </si>
  <si>
    <t>Mantenimiento</t>
  </si>
  <si>
    <t>DAI</t>
  </si>
  <si>
    <t>Diseño Del Software</t>
  </si>
  <si>
    <t>Modelo de datos</t>
  </si>
  <si>
    <t>Por cada tabla</t>
  </si>
  <si>
    <t>DAS</t>
  </si>
  <si>
    <t>5 a 9</t>
  </si>
  <si>
    <t>Diagrama de secuencia</t>
  </si>
  <si>
    <t>1 a 2</t>
  </si>
  <si>
    <t>Diagrama de despliegue</t>
  </si>
  <si>
    <t>Diagrama de clases</t>
  </si>
  <si>
    <t>Por cada Clase</t>
  </si>
  <si>
    <t>Diagrama de actividades</t>
  </si>
  <si>
    <t>Diagrama de componentes</t>
  </si>
  <si>
    <t>2 a 4</t>
  </si>
  <si>
    <t>Prototipos</t>
  </si>
  <si>
    <t>Por cada Interfaz</t>
  </si>
  <si>
    <t>Integracion Del Software</t>
  </si>
  <si>
    <t>Manual de Usuario</t>
  </si>
  <si>
    <t>Manual Técnico</t>
  </si>
  <si>
    <t>Aseguramiento de Calidad del Producto</t>
  </si>
  <si>
    <t>Analisis de Pruebas</t>
  </si>
  <si>
    <t>Plan de Pruebas del Software</t>
  </si>
  <si>
    <t>Casos de prueba</t>
  </si>
  <si>
    <t>0,30  a 0,45</t>
  </si>
  <si>
    <t>Por cada caso de prueba</t>
  </si>
  <si>
    <t>Informe Pruebas del Software</t>
  </si>
  <si>
    <t>Total Documentos</t>
  </si>
  <si>
    <t>Tiempo Estimado</t>
  </si>
  <si>
    <t>Tecnología</t>
  </si>
  <si>
    <t>Horas Estimadas</t>
  </si>
  <si>
    <t>Horas Propuestas</t>
  </si>
  <si>
    <t>Construción</t>
  </si>
  <si>
    <t>Evidencias del Desarrollador</t>
  </si>
  <si>
    <t>4 a 9</t>
  </si>
  <si>
    <t>ESTIMACION DE PLATAFORMAS Y DOCUMENTOS</t>
  </si>
  <si>
    <t>Plataforma</t>
  </si>
  <si>
    <t>Total Horas Estimadas</t>
  </si>
  <si>
    <t>Nombre del Responsable del la Estimación</t>
  </si>
  <si>
    <t>Rol -Cargo</t>
  </si>
  <si>
    <t>Total Horas Propuestas</t>
  </si>
  <si>
    <t>Cambios de toda la estructura de la aplicación y las vistas para centralizar todas las funciones, según requerimientos del cliente, y correcciones de ortografía.</t>
  </si>
  <si>
    <t>Pruebas unitarias</t>
  </si>
  <si>
    <t>Modificar idioma en las vistas ingresar, registrarse, recuperar contraseña, edición de perfil y cambio de contraseña, y algunas funciones de seguridad.</t>
  </si>
  <si>
    <t>Modificar estructura y vista de los detalles de contrato y pólizas</t>
  </si>
  <si>
    <t>Modificar reportes para visualizar u ocultar los campos de los cuales se quiere generar el reporte, todo esto en base a los nuevos requerimientos del cliente.</t>
  </si>
  <si>
    <t>Agregar validaciones para mostrar mensaje que si desea guardar los datos en las diferentes sesiones.</t>
  </si>
  <si>
    <t>Crear método para enviar las notificaciones al correo del usuario.</t>
  </si>
  <si>
    <t>Crear métodos para validación y generar notificaciones de contratos, prorrogas, pólizas y protecciones que están próximas a vencer.</t>
  </si>
  <si>
    <t>Total Horas:</t>
  </si>
  <si>
    <t>Julian Herrera</t>
  </si>
  <si>
    <t>Mateo Sierra</t>
  </si>
  <si>
    <t>Practicante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</si>
</sst>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4"/>
      <color theme="0"/>
      <name val="Calibri"/>
      <scheme val="minor"/>
    </font>
    <font>
      <sz val="12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Tahoma"/>
      <family val="2"/>
    </font>
    <font>
      <sz val="10"/>
      <color rgb="FF000000"/>
      <name val="Tahoma"/>
      <family val="2"/>
    </font>
    <font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2" xfId="0" applyBorder="1"/>
    <xf numFmtId="0" fontId="0" fillId="4" borderId="2" xfId="0" applyFont="1" applyFill="1" applyBorder="1"/>
    <xf numFmtId="2" fontId="0" fillId="0" borderId="2" xfId="0" applyNumberFormat="1" applyFont="1" applyBorder="1" applyAlignment="1">
      <alignment horizontal="right" vertical="center"/>
    </xf>
    <xf numFmtId="2" fontId="0" fillId="0" borderId="2" xfId="0" applyNumberFormat="1" applyFont="1" applyBorder="1" applyAlignment="1">
      <alignment horizontal="right"/>
    </xf>
    <xf numFmtId="0" fontId="0" fillId="0" borderId="2" xfId="0" applyBorder="1" applyAlignment="1">
      <alignment wrapText="1"/>
    </xf>
    <xf numFmtId="0" fontId="0" fillId="3" borderId="2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vertical="center" wrapText="1"/>
    </xf>
    <xf numFmtId="2" fontId="0" fillId="0" borderId="2" xfId="0" applyNumberFormat="1" applyBorder="1"/>
    <xf numFmtId="0" fontId="0" fillId="0" borderId="2" xfId="0" applyBorder="1" applyAlignment="1">
      <alignment horizontal="left" vertical="top" wrapText="1"/>
    </xf>
    <xf numFmtId="0" fontId="3" fillId="6" borderId="2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1" xfId="0" applyNumberFormat="1" applyFont="1" applyBorder="1"/>
    <xf numFmtId="2" fontId="0" fillId="0" borderId="2" xfId="0" applyNumberFormat="1" applyBorder="1" applyAlignment="1">
      <alignment horizontal="center" vertical="center"/>
    </xf>
    <xf numFmtId="0" fontId="5" fillId="7" borderId="2" xfId="0" applyFont="1" applyFill="1" applyBorder="1"/>
    <xf numFmtId="0" fontId="0" fillId="3" borderId="2" xfId="0" applyFont="1" applyFill="1" applyBorder="1" applyAlignment="1">
      <alignment horizontal="left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2" fontId="8" fillId="7" borderId="2" xfId="0" applyNumberFormat="1" applyFont="1" applyFill="1" applyBorder="1" applyAlignment="1">
      <alignment horizontal="center" vertical="center"/>
    </xf>
    <xf numFmtId="0" fontId="0" fillId="0" borderId="2" xfId="0" applyFont="1" applyBorder="1" applyAlignment="1">
      <alignment wrapText="1"/>
    </xf>
    <xf numFmtId="2" fontId="0" fillId="0" borderId="2" xfId="0" applyNumberFormat="1" applyFont="1" applyBorder="1"/>
    <xf numFmtId="0" fontId="0" fillId="0" borderId="2" xfId="0" applyFont="1" applyBorder="1"/>
    <xf numFmtId="0" fontId="6" fillId="0" borderId="2" xfId="0" applyFont="1" applyBorder="1" applyAlignment="1">
      <alignment wrapText="1"/>
    </xf>
    <xf numFmtId="0" fontId="7" fillId="0" borderId="2" xfId="0" applyFont="1" applyBorder="1" applyAlignment="1">
      <alignment horizontal="justify" vertical="center" wrapText="1"/>
    </xf>
    <xf numFmtId="0" fontId="6" fillId="0" borderId="2" xfId="0" applyFont="1" applyBorder="1"/>
    <xf numFmtId="2" fontId="0" fillId="8" borderId="0" xfId="0" applyNumberFormat="1" applyFill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6"/>
  <sheetViews>
    <sheetView tabSelected="1" workbookViewId="0">
      <selection activeCell="G19" sqref="G19"/>
    </sheetView>
  </sheetViews>
  <sheetFormatPr baseColWidth="10" defaultRowHeight="15" x14ac:dyDescent="0.25"/>
  <cols>
    <col min="2" max="2" width="62.28515625" customWidth="1"/>
    <col min="3" max="3" width="27.5703125" bestFit="1" customWidth="1"/>
    <col min="4" max="4" width="26.42578125" bestFit="1" customWidth="1"/>
  </cols>
  <sheetData>
    <row r="1" spans="2:4" ht="18.75" x14ac:dyDescent="0.25">
      <c r="B1" s="19" t="s">
        <v>105</v>
      </c>
      <c r="C1" s="19"/>
      <c r="D1" s="19"/>
    </row>
    <row r="2" spans="2:4" ht="18.75" x14ac:dyDescent="0.25">
      <c r="B2" s="20" t="s">
        <v>106</v>
      </c>
      <c r="C2" s="21" t="s">
        <v>110</v>
      </c>
      <c r="D2" s="21" t="s">
        <v>107</v>
      </c>
    </row>
    <row r="3" spans="2:4" ht="45" x14ac:dyDescent="0.25">
      <c r="B3" s="22" t="s">
        <v>111</v>
      </c>
      <c r="C3" s="23">
        <v>30</v>
      </c>
      <c r="D3" s="23">
        <v>30</v>
      </c>
    </row>
    <row r="4" spans="2:4" x14ac:dyDescent="0.25">
      <c r="B4" s="22" t="s">
        <v>112</v>
      </c>
      <c r="C4" s="23">
        <v>10</v>
      </c>
      <c r="D4" s="23">
        <v>10</v>
      </c>
    </row>
    <row r="5" spans="2:4" ht="39" x14ac:dyDescent="0.25">
      <c r="B5" s="25" t="s">
        <v>113</v>
      </c>
      <c r="C5" s="23">
        <v>9</v>
      </c>
      <c r="D5" s="23">
        <v>9</v>
      </c>
    </row>
    <row r="6" spans="2:4" x14ac:dyDescent="0.25">
      <c r="B6" s="26" t="s">
        <v>114</v>
      </c>
      <c r="C6" s="23">
        <v>8</v>
      </c>
      <c r="D6" s="23">
        <v>8</v>
      </c>
    </row>
    <row r="7" spans="2:4" ht="38.25" x14ac:dyDescent="0.25">
      <c r="B7" s="26" t="s">
        <v>115</v>
      </c>
      <c r="C7" s="23">
        <v>10</v>
      </c>
      <c r="D7" s="23">
        <v>10</v>
      </c>
    </row>
    <row r="8" spans="2:4" ht="25.5" x14ac:dyDescent="0.25">
      <c r="B8" s="26" t="s">
        <v>116</v>
      </c>
      <c r="C8" s="23">
        <v>8</v>
      </c>
      <c r="D8" s="23">
        <v>8</v>
      </c>
    </row>
    <row r="9" spans="2:4" x14ac:dyDescent="0.25">
      <c r="B9" s="26" t="s">
        <v>112</v>
      </c>
      <c r="C9" s="23">
        <v>7</v>
      </c>
      <c r="D9" s="23">
        <v>7</v>
      </c>
    </row>
    <row r="10" spans="2:4" x14ac:dyDescent="0.25">
      <c r="B10" s="27" t="s">
        <v>117</v>
      </c>
      <c r="C10" s="23">
        <v>24</v>
      </c>
      <c r="D10" s="23">
        <v>24</v>
      </c>
    </row>
    <row r="11" spans="2:4" ht="26.25" x14ac:dyDescent="0.25">
      <c r="B11" s="25" t="s">
        <v>118</v>
      </c>
      <c r="C11" s="23">
        <v>18</v>
      </c>
      <c r="D11" s="23">
        <v>18</v>
      </c>
    </row>
    <row r="12" spans="2:4" x14ac:dyDescent="0.25">
      <c r="B12" s="24" t="s">
        <v>112</v>
      </c>
      <c r="C12" s="23">
        <v>7</v>
      </c>
      <c r="D12" s="23">
        <v>7</v>
      </c>
    </row>
    <row r="13" spans="2:4" ht="18.75" x14ac:dyDescent="0.3">
      <c r="C13" s="17" t="s">
        <v>119</v>
      </c>
      <c r="D13" s="28">
        <f>SUM(D3:D12)</f>
        <v>131</v>
      </c>
    </row>
    <row r="14" spans="2:4" ht="18.75" x14ac:dyDescent="0.3">
      <c r="B14" s="17" t="s">
        <v>108</v>
      </c>
      <c r="C14" s="17" t="s">
        <v>109</v>
      </c>
    </row>
    <row r="15" spans="2:4" x14ac:dyDescent="0.25">
      <c r="B15" s="4" t="s">
        <v>120</v>
      </c>
      <c r="C15" s="4" t="s">
        <v>122</v>
      </c>
    </row>
    <row r="16" spans="2:4" x14ac:dyDescent="0.25">
      <c r="B16" s="29" t="s">
        <v>121</v>
      </c>
      <c r="C16" s="4" t="s">
        <v>122</v>
      </c>
    </row>
  </sheetData>
  <mergeCells count="1">
    <mergeCell ref="B1:D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00"/>
  <sheetViews>
    <sheetView workbookViewId="0">
      <selection activeCell="C2" sqref="C2"/>
    </sheetView>
  </sheetViews>
  <sheetFormatPr baseColWidth="10" defaultRowHeight="15" x14ac:dyDescent="0.25"/>
  <cols>
    <col min="1" max="1" width="20" bestFit="1" customWidth="1"/>
    <col min="2" max="2" width="27.42578125" customWidth="1"/>
    <col min="3" max="3" width="17.28515625" customWidth="1"/>
    <col min="4" max="4" width="14.5703125" bestFit="1" customWidth="1"/>
    <col min="5" max="5" width="18.140625" bestFit="1" customWidth="1"/>
    <col min="6" max="6" width="41.85546875" bestFit="1" customWidth="1"/>
    <col min="7" max="7" width="13.85546875" bestFit="1" customWidth="1"/>
  </cols>
  <sheetData>
    <row r="1" spans="1:7" ht="42" x14ac:dyDescent="0.25">
      <c r="A1" s="13" t="s">
        <v>48</v>
      </c>
      <c r="B1" s="13" t="s">
        <v>49</v>
      </c>
      <c r="C1" s="13" t="s">
        <v>98</v>
      </c>
      <c r="D1" s="13" t="s">
        <v>99</v>
      </c>
      <c r="E1" s="13" t="s">
        <v>46</v>
      </c>
      <c r="F1" s="13" t="s">
        <v>1</v>
      </c>
      <c r="G1" s="13" t="s">
        <v>47</v>
      </c>
    </row>
    <row r="2" spans="1:7" ht="30" x14ac:dyDescent="0.25">
      <c r="A2" s="4"/>
      <c r="B2" s="4"/>
      <c r="C2" s="11">
        <v>43</v>
      </c>
      <c r="D2" s="12" t="s">
        <v>2</v>
      </c>
      <c r="E2" s="12" t="s">
        <v>33</v>
      </c>
      <c r="F2" s="12" t="e">
        <f t="shared" ref="F2:F22" si="0">LOOKUP(E2,Componentes,Comentarios)</f>
        <v>#N/A</v>
      </c>
      <c r="G2" s="16">
        <f>BuscarHoras(D2,E2)</f>
        <v>45</v>
      </c>
    </row>
    <row r="3" spans="1:7" ht="30" x14ac:dyDescent="0.25">
      <c r="A3" s="4"/>
      <c r="B3" s="4"/>
      <c r="C3" s="11"/>
      <c r="D3" s="12" t="s">
        <v>10</v>
      </c>
      <c r="E3" s="12" t="s">
        <v>31</v>
      </c>
      <c r="F3" s="12" t="str">
        <f t="shared" si="0"/>
        <v>Consulta/Inseración/Actualización de datos básico (Script) compuesto de SQL</v>
      </c>
      <c r="G3" s="16">
        <f>BuscarHoras(D3,E3)</f>
        <v>0</v>
      </c>
    </row>
    <row r="4" spans="1:7" x14ac:dyDescent="0.25">
      <c r="A4" s="4"/>
      <c r="B4" s="4"/>
      <c r="C4" s="11"/>
      <c r="D4" s="12"/>
      <c r="E4" s="12"/>
      <c r="F4" s="12" t="e">
        <f t="shared" si="0"/>
        <v>#N/A</v>
      </c>
      <c r="G4" s="16">
        <f t="shared" ref="G4:G24" si="1">BuscarHoras(D4,E4)</f>
        <v>0</v>
      </c>
    </row>
    <row r="5" spans="1:7" x14ac:dyDescent="0.25">
      <c r="A5" s="4"/>
      <c r="B5" s="4"/>
      <c r="C5" s="11"/>
      <c r="D5" s="12"/>
      <c r="E5" s="12"/>
      <c r="F5" s="12" t="e">
        <f t="shared" si="0"/>
        <v>#N/A</v>
      </c>
      <c r="G5" s="16">
        <f t="shared" si="1"/>
        <v>0</v>
      </c>
    </row>
    <row r="6" spans="1:7" x14ac:dyDescent="0.25">
      <c r="A6" s="4"/>
      <c r="B6" s="4"/>
      <c r="C6" s="11"/>
      <c r="D6" s="12"/>
      <c r="E6" s="12"/>
      <c r="F6" s="12" t="e">
        <f t="shared" si="0"/>
        <v>#N/A</v>
      </c>
      <c r="G6" s="16">
        <f t="shared" si="1"/>
        <v>0</v>
      </c>
    </row>
    <row r="7" spans="1:7" x14ac:dyDescent="0.25">
      <c r="A7" s="4"/>
      <c r="B7" s="4"/>
      <c r="C7" s="11"/>
      <c r="D7" s="12"/>
      <c r="E7" s="12"/>
      <c r="F7" s="12" t="e">
        <f t="shared" si="0"/>
        <v>#N/A</v>
      </c>
      <c r="G7" s="16">
        <f t="shared" si="1"/>
        <v>0</v>
      </c>
    </row>
    <row r="8" spans="1:7" x14ac:dyDescent="0.25">
      <c r="A8" s="4"/>
      <c r="B8" s="4"/>
      <c r="C8" s="11"/>
      <c r="D8" s="12"/>
      <c r="E8" s="12"/>
      <c r="F8" s="12" t="e">
        <f t="shared" si="0"/>
        <v>#N/A</v>
      </c>
      <c r="G8" s="16">
        <f t="shared" si="1"/>
        <v>0</v>
      </c>
    </row>
    <row r="9" spans="1:7" x14ac:dyDescent="0.25">
      <c r="A9" s="4"/>
      <c r="B9" s="4"/>
      <c r="C9" s="11"/>
      <c r="D9" s="12"/>
      <c r="E9" s="12"/>
      <c r="F9" s="12" t="e">
        <f t="shared" si="0"/>
        <v>#N/A</v>
      </c>
      <c r="G9" s="16">
        <f t="shared" si="1"/>
        <v>0</v>
      </c>
    </row>
    <row r="10" spans="1:7" x14ac:dyDescent="0.25">
      <c r="A10" s="4"/>
      <c r="B10" s="4"/>
      <c r="C10" s="11"/>
      <c r="D10" s="12"/>
      <c r="E10" s="12"/>
      <c r="F10" s="12" t="e">
        <f t="shared" si="0"/>
        <v>#N/A</v>
      </c>
      <c r="G10" s="16">
        <f t="shared" si="1"/>
        <v>0</v>
      </c>
    </row>
    <row r="11" spans="1:7" x14ac:dyDescent="0.25">
      <c r="A11" s="4"/>
      <c r="B11" s="4"/>
      <c r="C11" s="11"/>
      <c r="D11" s="12"/>
      <c r="E11" s="12"/>
      <c r="F11" s="12" t="e">
        <f t="shared" si="0"/>
        <v>#N/A</v>
      </c>
      <c r="G11" s="16">
        <f t="shared" si="1"/>
        <v>0</v>
      </c>
    </row>
    <row r="12" spans="1:7" x14ac:dyDescent="0.25">
      <c r="A12" s="4"/>
      <c r="B12" s="4"/>
      <c r="C12" s="11"/>
      <c r="D12" s="12"/>
      <c r="E12" s="12"/>
      <c r="F12" s="12" t="e">
        <f t="shared" si="0"/>
        <v>#N/A</v>
      </c>
      <c r="G12" s="16">
        <f t="shared" si="1"/>
        <v>0</v>
      </c>
    </row>
    <row r="13" spans="1:7" x14ac:dyDescent="0.25">
      <c r="A13" s="4"/>
      <c r="B13" s="4"/>
      <c r="C13" s="11"/>
      <c r="D13" s="12"/>
      <c r="E13" s="12"/>
      <c r="F13" s="12" t="e">
        <f t="shared" si="0"/>
        <v>#N/A</v>
      </c>
      <c r="G13" s="16">
        <f t="shared" si="1"/>
        <v>0</v>
      </c>
    </row>
    <row r="14" spans="1:7" x14ac:dyDescent="0.25">
      <c r="A14" s="4"/>
      <c r="B14" s="4"/>
      <c r="C14" s="11"/>
      <c r="D14" s="12"/>
      <c r="E14" s="12"/>
      <c r="F14" s="12" t="e">
        <f t="shared" si="0"/>
        <v>#N/A</v>
      </c>
      <c r="G14" s="16">
        <f t="shared" si="1"/>
        <v>0</v>
      </c>
    </row>
    <row r="15" spans="1:7" x14ac:dyDescent="0.25">
      <c r="A15" s="4"/>
      <c r="B15" s="4"/>
      <c r="C15" s="11"/>
      <c r="D15" s="12"/>
      <c r="E15" s="12"/>
      <c r="F15" s="12" t="e">
        <f t="shared" si="0"/>
        <v>#N/A</v>
      </c>
      <c r="G15" s="16">
        <f t="shared" si="1"/>
        <v>0</v>
      </c>
    </row>
    <row r="16" spans="1:7" x14ac:dyDescent="0.25">
      <c r="A16" s="4"/>
      <c r="B16" s="4"/>
      <c r="C16" s="11"/>
      <c r="D16" s="12"/>
      <c r="E16" s="12"/>
      <c r="F16" s="12" t="e">
        <f t="shared" si="0"/>
        <v>#N/A</v>
      </c>
      <c r="G16" s="16">
        <f t="shared" si="1"/>
        <v>0</v>
      </c>
    </row>
    <row r="17" spans="1:7" x14ac:dyDescent="0.25">
      <c r="A17" s="4"/>
      <c r="B17" s="4"/>
      <c r="C17" s="11"/>
      <c r="D17" s="12"/>
      <c r="E17" s="12"/>
      <c r="F17" s="12" t="e">
        <f t="shared" si="0"/>
        <v>#N/A</v>
      </c>
      <c r="G17" s="16">
        <f t="shared" si="1"/>
        <v>0</v>
      </c>
    </row>
    <row r="18" spans="1:7" x14ac:dyDescent="0.25">
      <c r="A18" s="4"/>
      <c r="B18" s="4"/>
      <c r="C18" s="11"/>
      <c r="D18" s="12"/>
      <c r="E18" s="12"/>
      <c r="F18" s="12" t="e">
        <f t="shared" si="0"/>
        <v>#N/A</v>
      </c>
      <c r="G18" s="16">
        <f t="shared" si="1"/>
        <v>0</v>
      </c>
    </row>
    <row r="19" spans="1:7" x14ac:dyDescent="0.25">
      <c r="A19" s="4"/>
      <c r="B19" s="4"/>
      <c r="C19" s="11"/>
      <c r="D19" s="12"/>
      <c r="E19" s="12"/>
      <c r="F19" s="12" t="e">
        <f t="shared" si="0"/>
        <v>#N/A</v>
      </c>
      <c r="G19" s="16">
        <f t="shared" si="1"/>
        <v>0</v>
      </c>
    </row>
    <row r="20" spans="1:7" x14ac:dyDescent="0.25">
      <c r="A20" s="4"/>
      <c r="B20" s="4"/>
      <c r="C20" s="11"/>
      <c r="D20" s="12"/>
      <c r="E20" s="12"/>
      <c r="F20" s="12" t="e">
        <f t="shared" si="0"/>
        <v>#N/A</v>
      </c>
      <c r="G20" s="16">
        <f t="shared" si="1"/>
        <v>0</v>
      </c>
    </row>
    <row r="21" spans="1:7" x14ac:dyDescent="0.25">
      <c r="A21" s="4"/>
      <c r="B21" s="4"/>
      <c r="C21" s="11"/>
      <c r="D21" s="12"/>
      <c r="E21" s="12"/>
      <c r="F21" s="12" t="e">
        <f t="shared" si="0"/>
        <v>#N/A</v>
      </c>
      <c r="G21" s="16">
        <f t="shared" si="1"/>
        <v>0</v>
      </c>
    </row>
    <row r="22" spans="1:7" x14ac:dyDescent="0.25">
      <c r="A22" s="4"/>
      <c r="B22" s="4"/>
      <c r="C22" s="11"/>
      <c r="D22" s="12"/>
      <c r="E22" s="12"/>
      <c r="F22" s="12" t="e">
        <f t="shared" si="0"/>
        <v>#N/A</v>
      </c>
      <c r="G22" s="16">
        <f t="shared" si="1"/>
        <v>0</v>
      </c>
    </row>
    <row r="23" spans="1:7" x14ac:dyDescent="0.25">
      <c r="A23" s="4"/>
      <c r="B23" s="4"/>
      <c r="C23" s="11"/>
      <c r="D23" s="12"/>
      <c r="E23" s="12"/>
      <c r="F23" s="12" t="e">
        <f t="shared" ref="F23:F86" si="2">LOOKUP(E23,Componentes,Comentarios)</f>
        <v>#N/A</v>
      </c>
      <c r="G23" s="16">
        <f t="shared" si="1"/>
        <v>0</v>
      </c>
    </row>
    <row r="24" spans="1:7" x14ac:dyDescent="0.25">
      <c r="A24" s="4"/>
      <c r="B24" s="4"/>
      <c r="C24" s="11"/>
      <c r="D24" s="12"/>
      <c r="E24" s="12"/>
      <c r="F24" s="12" t="e">
        <f t="shared" si="2"/>
        <v>#N/A</v>
      </c>
      <c r="G24" s="16">
        <f t="shared" si="1"/>
        <v>0</v>
      </c>
    </row>
    <row r="25" spans="1:7" x14ac:dyDescent="0.25">
      <c r="A25" s="4"/>
      <c r="B25" s="4"/>
      <c r="C25" s="11"/>
      <c r="D25" s="12"/>
      <c r="E25" s="12"/>
      <c r="F25" s="12" t="e">
        <f t="shared" si="2"/>
        <v>#N/A</v>
      </c>
      <c r="G25" s="16">
        <f t="shared" ref="G25:G88" si="3">BuscarHoras(D25,E25)</f>
        <v>0</v>
      </c>
    </row>
    <row r="26" spans="1:7" x14ac:dyDescent="0.25">
      <c r="A26" s="4"/>
      <c r="B26" s="4"/>
      <c r="C26" s="11"/>
      <c r="D26" s="12"/>
      <c r="E26" s="12"/>
      <c r="F26" s="12" t="e">
        <f t="shared" si="2"/>
        <v>#N/A</v>
      </c>
      <c r="G26" s="16">
        <f t="shared" si="3"/>
        <v>0</v>
      </c>
    </row>
    <row r="27" spans="1:7" x14ac:dyDescent="0.25">
      <c r="A27" s="4"/>
      <c r="B27" s="4"/>
      <c r="C27" s="11"/>
      <c r="D27" s="12"/>
      <c r="E27" s="12"/>
      <c r="F27" s="12" t="e">
        <f t="shared" si="2"/>
        <v>#N/A</v>
      </c>
      <c r="G27" s="16">
        <f t="shared" si="3"/>
        <v>0</v>
      </c>
    </row>
    <row r="28" spans="1:7" x14ac:dyDescent="0.25">
      <c r="A28" s="4"/>
      <c r="B28" s="4"/>
      <c r="C28" s="11"/>
      <c r="D28" s="12"/>
      <c r="E28" s="12"/>
      <c r="F28" s="12" t="e">
        <f t="shared" si="2"/>
        <v>#N/A</v>
      </c>
      <c r="G28" s="16">
        <f t="shared" si="3"/>
        <v>0</v>
      </c>
    </row>
    <row r="29" spans="1:7" x14ac:dyDescent="0.25">
      <c r="A29" s="4"/>
      <c r="B29" s="4"/>
      <c r="C29" s="11"/>
      <c r="D29" s="12"/>
      <c r="E29" s="12"/>
      <c r="F29" s="12" t="e">
        <f t="shared" si="2"/>
        <v>#N/A</v>
      </c>
      <c r="G29" s="16">
        <f t="shared" si="3"/>
        <v>0</v>
      </c>
    </row>
    <row r="30" spans="1:7" x14ac:dyDescent="0.25">
      <c r="A30" s="4"/>
      <c r="B30" s="4"/>
      <c r="C30" s="11"/>
      <c r="D30" s="12"/>
      <c r="E30" s="12"/>
      <c r="F30" s="12" t="e">
        <f t="shared" si="2"/>
        <v>#N/A</v>
      </c>
      <c r="G30" s="16">
        <f t="shared" si="3"/>
        <v>0</v>
      </c>
    </row>
    <row r="31" spans="1:7" x14ac:dyDescent="0.25">
      <c r="A31" s="4"/>
      <c r="B31" s="4"/>
      <c r="C31" s="11"/>
      <c r="D31" s="12"/>
      <c r="E31" s="12"/>
      <c r="F31" s="12" t="e">
        <f t="shared" si="2"/>
        <v>#N/A</v>
      </c>
      <c r="G31" s="16">
        <f t="shared" si="3"/>
        <v>0</v>
      </c>
    </row>
    <row r="32" spans="1:7" x14ac:dyDescent="0.25">
      <c r="A32" s="4"/>
      <c r="B32" s="4"/>
      <c r="C32" s="11"/>
      <c r="D32" s="12"/>
      <c r="E32" s="12"/>
      <c r="F32" s="12" t="e">
        <f t="shared" si="2"/>
        <v>#N/A</v>
      </c>
      <c r="G32" s="16">
        <f t="shared" si="3"/>
        <v>0</v>
      </c>
    </row>
    <row r="33" spans="1:7" x14ac:dyDescent="0.25">
      <c r="A33" s="4"/>
      <c r="B33" s="4"/>
      <c r="C33" s="11"/>
      <c r="D33" s="12"/>
      <c r="E33" s="12"/>
      <c r="F33" s="12" t="e">
        <f t="shared" si="2"/>
        <v>#N/A</v>
      </c>
      <c r="G33" s="16">
        <f t="shared" si="3"/>
        <v>0</v>
      </c>
    </row>
    <row r="34" spans="1:7" x14ac:dyDescent="0.25">
      <c r="A34" s="4"/>
      <c r="B34" s="4"/>
      <c r="C34" s="11"/>
      <c r="D34" s="12"/>
      <c r="E34" s="12"/>
      <c r="F34" s="12" t="e">
        <f t="shared" si="2"/>
        <v>#N/A</v>
      </c>
      <c r="G34" s="16">
        <f t="shared" si="3"/>
        <v>0</v>
      </c>
    </row>
    <row r="35" spans="1:7" x14ac:dyDescent="0.25">
      <c r="A35" s="4"/>
      <c r="B35" s="4"/>
      <c r="C35" s="11"/>
      <c r="D35" s="12"/>
      <c r="E35" s="12"/>
      <c r="F35" s="12" t="e">
        <f t="shared" si="2"/>
        <v>#N/A</v>
      </c>
      <c r="G35" s="16">
        <f t="shared" si="3"/>
        <v>0</v>
      </c>
    </row>
    <row r="36" spans="1:7" x14ac:dyDescent="0.25">
      <c r="A36" s="4"/>
      <c r="B36" s="4"/>
      <c r="C36" s="11"/>
      <c r="D36" s="12"/>
      <c r="E36" s="12"/>
      <c r="F36" s="12" t="e">
        <f t="shared" si="2"/>
        <v>#N/A</v>
      </c>
      <c r="G36" s="16">
        <f t="shared" si="3"/>
        <v>0</v>
      </c>
    </row>
    <row r="37" spans="1:7" x14ac:dyDescent="0.25">
      <c r="A37" s="4"/>
      <c r="B37" s="4"/>
      <c r="C37" s="11"/>
      <c r="D37" s="12"/>
      <c r="E37" s="12"/>
      <c r="F37" s="12" t="e">
        <f t="shared" si="2"/>
        <v>#N/A</v>
      </c>
      <c r="G37" s="16">
        <f t="shared" si="3"/>
        <v>0</v>
      </c>
    </row>
    <row r="38" spans="1:7" x14ac:dyDescent="0.25">
      <c r="A38" s="4"/>
      <c r="B38" s="4"/>
      <c r="C38" s="11"/>
      <c r="D38" s="12"/>
      <c r="E38" s="12"/>
      <c r="F38" s="12" t="e">
        <f t="shared" si="2"/>
        <v>#N/A</v>
      </c>
      <c r="G38" s="16">
        <f t="shared" si="3"/>
        <v>0</v>
      </c>
    </row>
    <row r="39" spans="1:7" x14ac:dyDescent="0.25">
      <c r="A39" s="4"/>
      <c r="B39" s="4"/>
      <c r="C39" s="11"/>
      <c r="D39" s="12"/>
      <c r="E39" s="12"/>
      <c r="F39" s="12" t="e">
        <f t="shared" si="2"/>
        <v>#N/A</v>
      </c>
      <c r="G39" s="16">
        <f t="shared" si="3"/>
        <v>0</v>
      </c>
    </row>
    <row r="40" spans="1:7" x14ac:dyDescent="0.25">
      <c r="A40" s="4"/>
      <c r="B40" s="4"/>
      <c r="C40" s="11"/>
      <c r="D40" s="12"/>
      <c r="E40" s="12"/>
      <c r="F40" s="12" t="e">
        <f t="shared" si="2"/>
        <v>#N/A</v>
      </c>
      <c r="G40" s="16">
        <f t="shared" si="3"/>
        <v>0</v>
      </c>
    </row>
    <row r="41" spans="1:7" x14ac:dyDescent="0.25">
      <c r="A41" s="4"/>
      <c r="B41" s="4"/>
      <c r="C41" s="11"/>
      <c r="D41" s="12"/>
      <c r="E41" s="12"/>
      <c r="F41" s="12" t="e">
        <f t="shared" si="2"/>
        <v>#N/A</v>
      </c>
      <c r="G41" s="16">
        <f t="shared" si="3"/>
        <v>0</v>
      </c>
    </row>
    <row r="42" spans="1:7" x14ac:dyDescent="0.25">
      <c r="A42" s="4"/>
      <c r="B42" s="4"/>
      <c r="C42" s="11"/>
      <c r="D42" s="12"/>
      <c r="E42" s="12"/>
      <c r="F42" s="12" t="e">
        <f t="shared" si="2"/>
        <v>#N/A</v>
      </c>
      <c r="G42" s="16">
        <f t="shared" si="3"/>
        <v>0</v>
      </c>
    </row>
    <row r="43" spans="1:7" x14ac:dyDescent="0.25">
      <c r="A43" s="4"/>
      <c r="B43" s="4"/>
      <c r="C43" s="11"/>
      <c r="D43" s="12"/>
      <c r="E43" s="12"/>
      <c r="F43" s="12" t="e">
        <f t="shared" si="2"/>
        <v>#N/A</v>
      </c>
      <c r="G43" s="16">
        <f t="shared" si="3"/>
        <v>0</v>
      </c>
    </row>
    <row r="44" spans="1:7" x14ac:dyDescent="0.25">
      <c r="A44" s="4"/>
      <c r="B44" s="4"/>
      <c r="C44" s="11"/>
      <c r="D44" s="12"/>
      <c r="E44" s="12"/>
      <c r="F44" s="12" t="e">
        <f t="shared" si="2"/>
        <v>#N/A</v>
      </c>
      <c r="G44" s="16">
        <f t="shared" si="3"/>
        <v>0</v>
      </c>
    </row>
    <row r="45" spans="1:7" x14ac:dyDescent="0.25">
      <c r="A45" s="4"/>
      <c r="B45" s="4"/>
      <c r="C45" s="11"/>
      <c r="D45" s="12"/>
      <c r="E45" s="12"/>
      <c r="F45" s="12" t="e">
        <f t="shared" si="2"/>
        <v>#N/A</v>
      </c>
      <c r="G45" s="16">
        <f t="shared" si="3"/>
        <v>0</v>
      </c>
    </row>
    <row r="46" spans="1:7" x14ac:dyDescent="0.25">
      <c r="A46" s="4"/>
      <c r="B46" s="4"/>
      <c r="C46" s="11"/>
      <c r="D46" s="12"/>
      <c r="E46" s="12"/>
      <c r="F46" s="12" t="e">
        <f t="shared" si="2"/>
        <v>#N/A</v>
      </c>
      <c r="G46" s="16">
        <f t="shared" si="3"/>
        <v>0</v>
      </c>
    </row>
    <row r="47" spans="1:7" x14ac:dyDescent="0.25">
      <c r="A47" s="4"/>
      <c r="B47" s="4"/>
      <c r="C47" s="11"/>
      <c r="D47" s="12"/>
      <c r="E47" s="12"/>
      <c r="F47" s="12" t="e">
        <f t="shared" si="2"/>
        <v>#N/A</v>
      </c>
      <c r="G47" s="16">
        <f t="shared" si="3"/>
        <v>0</v>
      </c>
    </row>
    <row r="48" spans="1:7" x14ac:dyDescent="0.25">
      <c r="A48" s="4"/>
      <c r="B48" s="4"/>
      <c r="C48" s="11"/>
      <c r="D48" s="12"/>
      <c r="E48" s="12"/>
      <c r="F48" s="12" t="e">
        <f t="shared" si="2"/>
        <v>#N/A</v>
      </c>
      <c r="G48" s="16">
        <f t="shared" si="3"/>
        <v>0</v>
      </c>
    </row>
    <row r="49" spans="1:7" x14ac:dyDescent="0.25">
      <c r="A49" s="4"/>
      <c r="B49" s="4"/>
      <c r="C49" s="11"/>
      <c r="D49" s="12"/>
      <c r="E49" s="12"/>
      <c r="F49" s="12" t="e">
        <f t="shared" si="2"/>
        <v>#N/A</v>
      </c>
      <c r="G49" s="16">
        <f t="shared" si="3"/>
        <v>0</v>
      </c>
    </row>
    <row r="50" spans="1:7" x14ac:dyDescent="0.25">
      <c r="A50" s="4"/>
      <c r="B50" s="4"/>
      <c r="C50" s="11"/>
      <c r="D50" s="12"/>
      <c r="E50" s="12"/>
      <c r="F50" s="12" t="e">
        <f t="shared" si="2"/>
        <v>#N/A</v>
      </c>
      <c r="G50" s="16">
        <f t="shared" si="3"/>
        <v>0</v>
      </c>
    </row>
    <row r="51" spans="1:7" x14ac:dyDescent="0.25">
      <c r="A51" s="4"/>
      <c r="B51" s="4"/>
      <c r="C51" s="11"/>
      <c r="D51" s="12"/>
      <c r="E51" s="12"/>
      <c r="F51" s="12" t="e">
        <f t="shared" si="2"/>
        <v>#N/A</v>
      </c>
      <c r="G51" s="16">
        <f t="shared" si="3"/>
        <v>0</v>
      </c>
    </row>
    <row r="52" spans="1:7" x14ac:dyDescent="0.25">
      <c r="A52" s="4"/>
      <c r="B52" s="4"/>
      <c r="C52" s="11"/>
      <c r="D52" s="12"/>
      <c r="E52" s="12"/>
      <c r="F52" s="12" t="e">
        <f t="shared" si="2"/>
        <v>#N/A</v>
      </c>
      <c r="G52" s="16">
        <f t="shared" si="3"/>
        <v>0</v>
      </c>
    </row>
    <row r="53" spans="1:7" x14ac:dyDescent="0.25">
      <c r="A53" s="4"/>
      <c r="B53" s="4"/>
      <c r="C53" s="11"/>
      <c r="D53" s="12"/>
      <c r="E53" s="12"/>
      <c r="F53" s="12" t="e">
        <f t="shared" si="2"/>
        <v>#N/A</v>
      </c>
      <c r="G53" s="16">
        <f t="shared" si="3"/>
        <v>0</v>
      </c>
    </row>
    <row r="54" spans="1:7" x14ac:dyDescent="0.25">
      <c r="A54" s="4"/>
      <c r="B54" s="4"/>
      <c r="C54" s="11"/>
      <c r="D54" s="12"/>
      <c r="E54" s="12"/>
      <c r="F54" s="12" t="e">
        <f t="shared" si="2"/>
        <v>#N/A</v>
      </c>
      <c r="G54" s="16">
        <f t="shared" si="3"/>
        <v>0</v>
      </c>
    </row>
    <row r="55" spans="1:7" x14ac:dyDescent="0.25">
      <c r="A55" s="4"/>
      <c r="B55" s="4"/>
      <c r="C55" s="11"/>
      <c r="D55" s="12"/>
      <c r="E55" s="12"/>
      <c r="F55" s="12" t="e">
        <f t="shared" si="2"/>
        <v>#N/A</v>
      </c>
      <c r="G55" s="16">
        <f t="shared" si="3"/>
        <v>0</v>
      </c>
    </row>
    <row r="56" spans="1:7" x14ac:dyDescent="0.25">
      <c r="A56" s="4"/>
      <c r="B56" s="4"/>
      <c r="C56" s="11"/>
      <c r="D56" s="12"/>
      <c r="E56" s="12"/>
      <c r="F56" s="12" t="e">
        <f t="shared" si="2"/>
        <v>#N/A</v>
      </c>
      <c r="G56" s="16">
        <f t="shared" si="3"/>
        <v>0</v>
      </c>
    </row>
    <row r="57" spans="1:7" x14ac:dyDescent="0.25">
      <c r="A57" s="4"/>
      <c r="B57" s="4"/>
      <c r="C57" s="11"/>
      <c r="D57" s="12"/>
      <c r="E57" s="12"/>
      <c r="F57" s="12" t="e">
        <f t="shared" si="2"/>
        <v>#N/A</v>
      </c>
      <c r="G57" s="16">
        <f t="shared" si="3"/>
        <v>0</v>
      </c>
    </row>
    <row r="58" spans="1:7" x14ac:dyDescent="0.25">
      <c r="A58" s="4"/>
      <c r="B58" s="4"/>
      <c r="C58" s="11"/>
      <c r="D58" s="12"/>
      <c r="E58" s="12"/>
      <c r="F58" s="12" t="e">
        <f t="shared" si="2"/>
        <v>#N/A</v>
      </c>
      <c r="G58" s="16">
        <f t="shared" si="3"/>
        <v>0</v>
      </c>
    </row>
    <row r="59" spans="1:7" x14ac:dyDescent="0.25">
      <c r="A59" s="4"/>
      <c r="B59" s="4"/>
      <c r="C59" s="11"/>
      <c r="D59" s="12"/>
      <c r="E59" s="12"/>
      <c r="F59" s="12" t="e">
        <f t="shared" si="2"/>
        <v>#N/A</v>
      </c>
      <c r="G59" s="16">
        <f t="shared" si="3"/>
        <v>0</v>
      </c>
    </row>
    <row r="60" spans="1:7" x14ac:dyDescent="0.25">
      <c r="A60" s="4"/>
      <c r="B60" s="4"/>
      <c r="C60" s="11"/>
      <c r="D60" s="12"/>
      <c r="E60" s="12"/>
      <c r="F60" s="12" t="e">
        <f t="shared" si="2"/>
        <v>#N/A</v>
      </c>
      <c r="G60" s="16">
        <f t="shared" si="3"/>
        <v>0</v>
      </c>
    </row>
    <row r="61" spans="1:7" x14ac:dyDescent="0.25">
      <c r="A61" s="4"/>
      <c r="B61" s="4"/>
      <c r="C61" s="11"/>
      <c r="D61" s="12"/>
      <c r="E61" s="12"/>
      <c r="F61" s="12" t="e">
        <f t="shared" si="2"/>
        <v>#N/A</v>
      </c>
      <c r="G61" s="16">
        <f t="shared" si="3"/>
        <v>0</v>
      </c>
    </row>
    <row r="62" spans="1:7" x14ac:dyDescent="0.25">
      <c r="A62" s="4"/>
      <c r="B62" s="4"/>
      <c r="C62" s="11"/>
      <c r="D62" s="12"/>
      <c r="E62" s="12"/>
      <c r="F62" s="12" t="e">
        <f t="shared" si="2"/>
        <v>#N/A</v>
      </c>
      <c r="G62" s="16">
        <f t="shared" si="3"/>
        <v>0</v>
      </c>
    </row>
    <row r="63" spans="1:7" x14ac:dyDescent="0.25">
      <c r="A63" s="4"/>
      <c r="B63" s="4"/>
      <c r="C63" s="11"/>
      <c r="D63" s="12"/>
      <c r="E63" s="12"/>
      <c r="F63" s="12" t="e">
        <f t="shared" si="2"/>
        <v>#N/A</v>
      </c>
      <c r="G63" s="16">
        <f t="shared" si="3"/>
        <v>0</v>
      </c>
    </row>
    <row r="64" spans="1:7" x14ac:dyDescent="0.25">
      <c r="A64" s="4"/>
      <c r="B64" s="4"/>
      <c r="C64" s="11"/>
      <c r="D64" s="12"/>
      <c r="E64" s="12"/>
      <c r="F64" s="12" t="e">
        <f t="shared" si="2"/>
        <v>#N/A</v>
      </c>
      <c r="G64" s="16">
        <f t="shared" si="3"/>
        <v>0</v>
      </c>
    </row>
    <row r="65" spans="1:7" x14ac:dyDescent="0.25">
      <c r="A65" s="4"/>
      <c r="B65" s="4"/>
      <c r="C65" s="11"/>
      <c r="D65" s="12"/>
      <c r="E65" s="12"/>
      <c r="F65" s="12" t="e">
        <f t="shared" si="2"/>
        <v>#N/A</v>
      </c>
      <c r="G65" s="16">
        <f t="shared" si="3"/>
        <v>0</v>
      </c>
    </row>
    <row r="66" spans="1:7" x14ac:dyDescent="0.25">
      <c r="A66" s="4"/>
      <c r="B66" s="4"/>
      <c r="C66" s="11"/>
      <c r="D66" s="12"/>
      <c r="E66" s="12"/>
      <c r="F66" s="12" t="e">
        <f t="shared" si="2"/>
        <v>#N/A</v>
      </c>
      <c r="G66" s="16">
        <f t="shared" si="3"/>
        <v>0</v>
      </c>
    </row>
    <row r="67" spans="1:7" x14ac:dyDescent="0.25">
      <c r="A67" s="4"/>
      <c r="B67" s="4"/>
      <c r="C67" s="11"/>
      <c r="D67" s="12"/>
      <c r="E67" s="12"/>
      <c r="F67" s="12" t="e">
        <f t="shared" si="2"/>
        <v>#N/A</v>
      </c>
      <c r="G67" s="16">
        <f t="shared" si="3"/>
        <v>0</v>
      </c>
    </row>
    <row r="68" spans="1:7" x14ac:dyDescent="0.25">
      <c r="A68" s="4"/>
      <c r="B68" s="4"/>
      <c r="C68" s="11"/>
      <c r="D68" s="12"/>
      <c r="E68" s="12"/>
      <c r="F68" s="12" t="e">
        <f t="shared" si="2"/>
        <v>#N/A</v>
      </c>
      <c r="G68" s="16">
        <f t="shared" si="3"/>
        <v>0</v>
      </c>
    </row>
    <row r="69" spans="1:7" x14ac:dyDescent="0.25">
      <c r="A69" s="4"/>
      <c r="B69" s="4"/>
      <c r="C69" s="11"/>
      <c r="D69" s="12"/>
      <c r="E69" s="12"/>
      <c r="F69" s="12" t="e">
        <f t="shared" si="2"/>
        <v>#N/A</v>
      </c>
      <c r="G69" s="16">
        <f t="shared" si="3"/>
        <v>0</v>
      </c>
    </row>
    <row r="70" spans="1:7" x14ac:dyDescent="0.25">
      <c r="A70" s="4"/>
      <c r="B70" s="4"/>
      <c r="C70" s="11"/>
      <c r="D70" s="12"/>
      <c r="E70" s="12"/>
      <c r="F70" s="12" t="e">
        <f t="shared" si="2"/>
        <v>#N/A</v>
      </c>
      <c r="G70" s="16">
        <f t="shared" si="3"/>
        <v>0</v>
      </c>
    </row>
    <row r="71" spans="1:7" x14ac:dyDescent="0.25">
      <c r="A71" s="4"/>
      <c r="B71" s="4"/>
      <c r="C71" s="11"/>
      <c r="D71" s="12"/>
      <c r="E71" s="12"/>
      <c r="F71" s="12" t="e">
        <f t="shared" si="2"/>
        <v>#N/A</v>
      </c>
      <c r="G71" s="16">
        <f t="shared" si="3"/>
        <v>0</v>
      </c>
    </row>
    <row r="72" spans="1:7" x14ac:dyDescent="0.25">
      <c r="A72" s="4"/>
      <c r="B72" s="4"/>
      <c r="C72" s="11"/>
      <c r="D72" s="12"/>
      <c r="E72" s="12"/>
      <c r="F72" s="12" t="e">
        <f t="shared" si="2"/>
        <v>#N/A</v>
      </c>
      <c r="G72" s="16">
        <f t="shared" si="3"/>
        <v>0</v>
      </c>
    </row>
    <row r="73" spans="1:7" x14ac:dyDescent="0.25">
      <c r="A73" s="4"/>
      <c r="B73" s="4"/>
      <c r="C73" s="11"/>
      <c r="D73" s="12"/>
      <c r="E73" s="12"/>
      <c r="F73" s="12" t="e">
        <f t="shared" si="2"/>
        <v>#N/A</v>
      </c>
      <c r="G73" s="16">
        <f t="shared" si="3"/>
        <v>0</v>
      </c>
    </row>
    <row r="74" spans="1:7" x14ac:dyDescent="0.25">
      <c r="A74" s="4"/>
      <c r="B74" s="4"/>
      <c r="C74" s="11"/>
      <c r="D74" s="12"/>
      <c r="E74" s="12"/>
      <c r="F74" s="12" t="e">
        <f t="shared" si="2"/>
        <v>#N/A</v>
      </c>
      <c r="G74" s="16">
        <f t="shared" si="3"/>
        <v>0</v>
      </c>
    </row>
    <row r="75" spans="1:7" x14ac:dyDescent="0.25">
      <c r="A75" s="4"/>
      <c r="B75" s="4"/>
      <c r="C75" s="11"/>
      <c r="D75" s="12"/>
      <c r="E75" s="12"/>
      <c r="F75" s="12" t="e">
        <f t="shared" si="2"/>
        <v>#N/A</v>
      </c>
      <c r="G75" s="16">
        <f t="shared" si="3"/>
        <v>0</v>
      </c>
    </row>
    <row r="76" spans="1:7" x14ac:dyDescent="0.25">
      <c r="A76" s="4"/>
      <c r="B76" s="4"/>
      <c r="C76" s="11"/>
      <c r="D76" s="12"/>
      <c r="E76" s="12"/>
      <c r="F76" s="12" t="e">
        <f t="shared" si="2"/>
        <v>#N/A</v>
      </c>
      <c r="G76" s="16">
        <f t="shared" si="3"/>
        <v>0</v>
      </c>
    </row>
    <row r="77" spans="1:7" x14ac:dyDescent="0.25">
      <c r="A77" s="4"/>
      <c r="B77" s="4"/>
      <c r="C77" s="11"/>
      <c r="D77" s="12"/>
      <c r="E77" s="12"/>
      <c r="F77" s="12" t="e">
        <f t="shared" si="2"/>
        <v>#N/A</v>
      </c>
      <c r="G77" s="16">
        <f t="shared" si="3"/>
        <v>0</v>
      </c>
    </row>
    <row r="78" spans="1:7" x14ac:dyDescent="0.25">
      <c r="A78" s="4"/>
      <c r="B78" s="4"/>
      <c r="C78" s="11"/>
      <c r="D78" s="12"/>
      <c r="E78" s="12"/>
      <c r="F78" s="12" t="e">
        <f t="shared" si="2"/>
        <v>#N/A</v>
      </c>
      <c r="G78" s="16">
        <f t="shared" si="3"/>
        <v>0</v>
      </c>
    </row>
    <row r="79" spans="1:7" x14ac:dyDescent="0.25">
      <c r="A79" s="4"/>
      <c r="B79" s="4"/>
      <c r="C79" s="11"/>
      <c r="D79" s="12"/>
      <c r="E79" s="12"/>
      <c r="F79" s="12" t="e">
        <f t="shared" si="2"/>
        <v>#N/A</v>
      </c>
      <c r="G79" s="16">
        <f t="shared" si="3"/>
        <v>0</v>
      </c>
    </row>
    <row r="80" spans="1:7" x14ac:dyDescent="0.25">
      <c r="A80" s="4"/>
      <c r="B80" s="4"/>
      <c r="C80" s="11"/>
      <c r="D80" s="12"/>
      <c r="E80" s="12"/>
      <c r="F80" s="12" t="e">
        <f t="shared" si="2"/>
        <v>#N/A</v>
      </c>
      <c r="G80" s="16">
        <f t="shared" si="3"/>
        <v>0</v>
      </c>
    </row>
    <row r="81" spans="1:7" x14ac:dyDescent="0.25">
      <c r="A81" s="4"/>
      <c r="B81" s="4"/>
      <c r="C81" s="11"/>
      <c r="D81" s="12"/>
      <c r="E81" s="12"/>
      <c r="F81" s="12" t="e">
        <f t="shared" si="2"/>
        <v>#N/A</v>
      </c>
      <c r="G81" s="16">
        <f t="shared" si="3"/>
        <v>0</v>
      </c>
    </row>
    <row r="82" spans="1:7" x14ac:dyDescent="0.25">
      <c r="A82" s="4"/>
      <c r="B82" s="4"/>
      <c r="C82" s="11"/>
      <c r="D82" s="12"/>
      <c r="E82" s="12"/>
      <c r="F82" s="12" t="e">
        <f t="shared" si="2"/>
        <v>#N/A</v>
      </c>
      <c r="G82" s="16">
        <f t="shared" si="3"/>
        <v>0</v>
      </c>
    </row>
    <row r="83" spans="1:7" x14ac:dyDescent="0.25">
      <c r="A83" s="4"/>
      <c r="B83" s="4"/>
      <c r="C83" s="11"/>
      <c r="D83" s="12"/>
      <c r="E83" s="12"/>
      <c r="F83" s="12" t="e">
        <f t="shared" si="2"/>
        <v>#N/A</v>
      </c>
      <c r="G83" s="16">
        <f t="shared" si="3"/>
        <v>0</v>
      </c>
    </row>
    <row r="84" spans="1:7" x14ac:dyDescent="0.25">
      <c r="A84" s="4"/>
      <c r="B84" s="4"/>
      <c r="C84" s="11"/>
      <c r="D84" s="12"/>
      <c r="E84" s="12"/>
      <c r="F84" s="12" t="e">
        <f t="shared" si="2"/>
        <v>#N/A</v>
      </c>
      <c r="G84" s="16">
        <f t="shared" si="3"/>
        <v>0</v>
      </c>
    </row>
    <row r="85" spans="1:7" x14ac:dyDescent="0.25">
      <c r="A85" s="4"/>
      <c r="B85" s="4"/>
      <c r="C85" s="11"/>
      <c r="D85" s="12"/>
      <c r="E85" s="12"/>
      <c r="F85" s="12" t="e">
        <f t="shared" si="2"/>
        <v>#N/A</v>
      </c>
      <c r="G85" s="16">
        <f t="shared" si="3"/>
        <v>0</v>
      </c>
    </row>
    <row r="86" spans="1:7" x14ac:dyDescent="0.25">
      <c r="A86" s="4"/>
      <c r="B86" s="4"/>
      <c r="C86" s="11"/>
      <c r="D86" s="12"/>
      <c r="E86" s="12"/>
      <c r="F86" s="12" t="e">
        <f t="shared" si="2"/>
        <v>#N/A</v>
      </c>
      <c r="G86" s="16">
        <f t="shared" si="3"/>
        <v>0</v>
      </c>
    </row>
    <row r="87" spans="1:7" x14ac:dyDescent="0.25">
      <c r="A87" s="4"/>
      <c r="B87" s="4"/>
      <c r="C87" s="11"/>
      <c r="D87" s="12"/>
      <c r="E87" s="12"/>
      <c r="F87" s="12" t="e">
        <f t="shared" ref="F87:F100" si="4">LOOKUP(E87,Componentes,Comentarios)</f>
        <v>#N/A</v>
      </c>
      <c r="G87" s="16">
        <f t="shared" si="3"/>
        <v>0</v>
      </c>
    </row>
    <row r="88" spans="1:7" x14ac:dyDescent="0.25">
      <c r="A88" s="4"/>
      <c r="B88" s="4"/>
      <c r="C88" s="11"/>
      <c r="D88" s="12"/>
      <c r="E88" s="12"/>
      <c r="F88" s="12" t="e">
        <f t="shared" si="4"/>
        <v>#N/A</v>
      </c>
      <c r="G88" s="16">
        <f t="shared" si="3"/>
        <v>0</v>
      </c>
    </row>
    <row r="89" spans="1:7" x14ac:dyDescent="0.25">
      <c r="A89" s="4"/>
      <c r="B89" s="4"/>
      <c r="C89" s="11"/>
      <c r="D89" s="12"/>
      <c r="E89" s="12"/>
      <c r="F89" s="12" t="e">
        <f t="shared" si="4"/>
        <v>#N/A</v>
      </c>
      <c r="G89" s="16">
        <f t="shared" ref="G89:G100" si="5">BuscarHoras(D89,E89)</f>
        <v>0</v>
      </c>
    </row>
    <row r="90" spans="1:7" x14ac:dyDescent="0.25">
      <c r="A90" s="4"/>
      <c r="B90" s="4"/>
      <c r="C90" s="11"/>
      <c r="D90" s="12"/>
      <c r="E90" s="12"/>
      <c r="F90" s="12" t="e">
        <f t="shared" si="4"/>
        <v>#N/A</v>
      </c>
      <c r="G90" s="16">
        <f t="shared" si="5"/>
        <v>0</v>
      </c>
    </row>
    <row r="91" spans="1:7" x14ac:dyDescent="0.25">
      <c r="A91" s="4"/>
      <c r="B91" s="4"/>
      <c r="C91" s="11"/>
      <c r="D91" s="12"/>
      <c r="E91" s="12"/>
      <c r="F91" s="12" t="e">
        <f t="shared" si="4"/>
        <v>#N/A</v>
      </c>
      <c r="G91" s="16">
        <f t="shared" si="5"/>
        <v>0</v>
      </c>
    </row>
    <row r="92" spans="1:7" x14ac:dyDescent="0.25">
      <c r="A92" s="4"/>
      <c r="B92" s="4"/>
      <c r="C92" s="11"/>
      <c r="D92" s="12"/>
      <c r="E92" s="12"/>
      <c r="F92" s="12" t="e">
        <f t="shared" si="4"/>
        <v>#N/A</v>
      </c>
      <c r="G92" s="16">
        <f t="shared" si="5"/>
        <v>0</v>
      </c>
    </row>
    <row r="93" spans="1:7" x14ac:dyDescent="0.25">
      <c r="A93" s="4"/>
      <c r="B93" s="4"/>
      <c r="C93" s="11"/>
      <c r="D93" s="12"/>
      <c r="E93" s="12"/>
      <c r="F93" s="12" t="e">
        <f t="shared" si="4"/>
        <v>#N/A</v>
      </c>
      <c r="G93" s="16">
        <f t="shared" si="5"/>
        <v>0</v>
      </c>
    </row>
    <row r="94" spans="1:7" x14ac:dyDescent="0.25">
      <c r="A94" s="4"/>
      <c r="B94" s="4"/>
      <c r="C94" s="11"/>
      <c r="D94" s="12"/>
      <c r="E94" s="12"/>
      <c r="F94" s="12" t="e">
        <f t="shared" si="4"/>
        <v>#N/A</v>
      </c>
      <c r="G94" s="16">
        <f t="shared" si="5"/>
        <v>0</v>
      </c>
    </row>
    <row r="95" spans="1:7" x14ac:dyDescent="0.25">
      <c r="A95" s="4"/>
      <c r="B95" s="4"/>
      <c r="C95" s="11"/>
      <c r="D95" s="12"/>
      <c r="E95" s="12"/>
      <c r="F95" s="12" t="e">
        <f t="shared" si="4"/>
        <v>#N/A</v>
      </c>
      <c r="G95" s="16">
        <f t="shared" si="5"/>
        <v>0</v>
      </c>
    </row>
    <row r="96" spans="1:7" x14ac:dyDescent="0.25">
      <c r="A96" s="4"/>
      <c r="B96" s="4"/>
      <c r="C96" s="11"/>
      <c r="D96" s="12"/>
      <c r="E96" s="12"/>
      <c r="F96" s="12" t="e">
        <f t="shared" si="4"/>
        <v>#N/A</v>
      </c>
      <c r="G96" s="16">
        <f t="shared" si="5"/>
        <v>0</v>
      </c>
    </row>
    <row r="97" spans="1:7" x14ac:dyDescent="0.25">
      <c r="A97" s="4"/>
      <c r="B97" s="4"/>
      <c r="C97" s="11"/>
      <c r="D97" s="12"/>
      <c r="E97" s="12"/>
      <c r="F97" s="12" t="e">
        <f t="shared" si="4"/>
        <v>#N/A</v>
      </c>
      <c r="G97" s="16">
        <f t="shared" si="5"/>
        <v>0</v>
      </c>
    </row>
    <row r="98" spans="1:7" x14ac:dyDescent="0.25">
      <c r="A98" s="4"/>
      <c r="B98" s="4"/>
      <c r="C98" s="11"/>
      <c r="D98" s="12"/>
      <c r="E98" s="12"/>
      <c r="F98" s="12" t="e">
        <f t="shared" si="4"/>
        <v>#N/A</v>
      </c>
      <c r="G98" s="16">
        <f t="shared" si="5"/>
        <v>0</v>
      </c>
    </row>
    <row r="99" spans="1:7" x14ac:dyDescent="0.25">
      <c r="A99" s="4"/>
      <c r="B99" s="4"/>
      <c r="C99" s="11"/>
      <c r="D99" s="12"/>
      <c r="E99" s="12"/>
      <c r="F99" s="12" t="e">
        <f t="shared" si="4"/>
        <v>#N/A</v>
      </c>
      <c r="G99" s="16">
        <f t="shared" si="5"/>
        <v>0</v>
      </c>
    </row>
    <row r="100" spans="1:7" x14ac:dyDescent="0.25">
      <c r="A100" s="4"/>
      <c r="B100" s="4"/>
      <c r="C100" s="11"/>
      <c r="D100" s="12"/>
      <c r="E100" s="12"/>
      <c r="F100" s="12" t="e">
        <f t="shared" si="4"/>
        <v>#N/A</v>
      </c>
      <c r="G100" s="16">
        <f t="shared" si="5"/>
        <v>0</v>
      </c>
    </row>
  </sheetData>
  <dataValidations count="2">
    <dataValidation type="list" allowBlank="1" showInputMessage="1" showErrorMessage="1" sqref="E2:E100">
      <formula1>Componentes</formula1>
    </dataValidation>
    <dataValidation type="list" allowBlank="1" showInputMessage="1" showErrorMessage="1" sqref="D2:D100">
      <formula1>Tecnologias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F29"/>
  <sheetViews>
    <sheetView workbookViewId="0">
      <selection activeCell="E29" sqref="E29"/>
    </sheetView>
  </sheetViews>
  <sheetFormatPr baseColWidth="10" defaultRowHeight="15" x14ac:dyDescent="0.25"/>
  <cols>
    <col min="1" max="1" width="2.140625" customWidth="1"/>
    <col min="2" max="2" width="36.7109375" bestFit="1" customWidth="1"/>
    <col min="3" max="3" width="27.85546875" bestFit="1" customWidth="1"/>
    <col min="4" max="4" width="14.85546875" bestFit="1" customWidth="1"/>
    <col min="5" max="5" width="16.5703125" customWidth="1"/>
    <col min="6" max="6" width="22.42578125" bestFit="1" customWidth="1"/>
    <col min="7" max="7" width="3.140625" customWidth="1"/>
  </cols>
  <sheetData>
    <row r="1" spans="2:6" ht="63" x14ac:dyDescent="0.25">
      <c r="B1" s="13" t="s">
        <v>50</v>
      </c>
      <c r="C1" s="13" t="s">
        <v>51</v>
      </c>
      <c r="D1" s="13" t="s">
        <v>101</v>
      </c>
      <c r="E1" s="13" t="s">
        <v>100</v>
      </c>
      <c r="F1" s="13" t="s">
        <v>52</v>
      </c>
    </row>
    <row r="2" spans="2:6" x14ac:dyDescent="0.25">
      <c r="B2" s="18" t="s">
        <v>53</v>
      </c>
      <c r="C2" s="5" t="s">
        <v>54</v>
      </c>
      <c r="D2" s="6" t="s">
        <v>55</v>
      </c>
      <c r="E2" s="6">
        <v>0</v>
      </c>
      <c r="F2" s="4"/>
    </row>
    <row r="3" spans="2:6" x14ac:dyDescent="0.25">
      <c r="B3" s="18"/>
      <c r="C3" s="5" t="s">
        <v>56</v>
      </c>
      <c r="D3" s="7">
        <v>2</v>
      </c>
      <c r="E3" s="7">
        <v>0</v>
      </c>
      <c r="F3" s="4"/>
    </row>
    <row r="4" spans="2:6" x14ac:dyDescent="0.25">
      <c r="B4" s="18"/>
      <c r="C4" s="5" t="s">
        <v>57</v>
      </c>
      <c r="D4" s="7">
        <v>9</v>
      </c>
      <c r="E4" s="6">
        <v>0</v>
      </c>
      <c r="F4" s="4"/>
    </row>
    <row r="5" spans="2:6" x14ac:dyDescent="0.25">
      <c r="B5" s="18"/>
      <c r="C5" s="5" t="s">
        <v>58</v>
      </c>
      <c r="D5" s="7">
        <v>2</v>
      </c>
      <c r="E5" s="7">
        <v>0</v>
      </c>
      <c r="F5" s="4"/>
    </row>
    <row r="6" spans="2:6" x14ac:dyDescent="0.25">
      <c r="B6" s="18"/>
      <c r="C6" s="5" t="s">
        <v>59</v>
      </c>
      <c r="D6" s="7">
        <v>1</v>
      </c>
      <c r="E6" s="6">
        <v>0</v>
      </c>
      <c r="F6" s="4"/>
    </row>
    <row r="7" spans="2:6" x14ac:dyDescent="0.25">
      <c r="B7" s="18"/>
      <c r="C7" s="5" t="s">
        <v>60</v>
      </c>
      <c r="D7" s="6" t="s">
        <v>55</v>
      </c>
      <c r="E7" s="7">
        <v>0</v>
      </c>
      <c r="F7" s="4"/>
    </row>
    <row r="8" spans="2:6" x14ac:dyDescent="0.25">
      <c r="B8" s="18"/>
      <c r="C8" s="5" t="s">
        <v>61</v>
      </c>
      <c r="D8" s="6" t="s">
        <v>55</v>
      </c>
      <c r="E8" s="6">
        <v>0</v>
      </c>
      <c r="F8" s="4"/>
    </row>
    <row r="9" spans="2:6" x14ac:dyDescent="0.25">
      <c r="B9" s="18" t="s">
        <v>62</v>
      </c>
      <c r="C9" s="5" t="s">
        <v>63</v>
      </c>
      <c r="D9" s="6" t="s">
        <v>55</v>
      </c>
      <c r="E9" s="7">
        <v>0</v>
      </c>
      <c r="F9" s="4" t="s">
        <v>64</v>
      </c>
    </row>
    <row r="10" spans="2:6" x14ac:dyDescent="0.25">
      <c r="B10" s="18"/>
      <c r="C10" s="5" t="s">
        <v>65</v>
      </c>
      <c r="D10" s="6" t="s">
        <v>55</v>
      </c>
      <c r="E10" s="6">
        <v>0</v>
      </c>
      <c r="F10" s="4" t="s">
        <v>66</v>
      </c>
    </row>
    <row r="11" spans="2:6" x14ac:dyDescent="0.25">
      <c r="B11" s="18"/>
      <c r="C11" s="5" t="s">
        <v>67</v>
      </c>
      <c r="D11" s="6" t="s">
        <v>68</v>
      </c>
      <c r="E11" s="7">
        <v>0</v>
      </c>
      <c r="F11" s="8" t="s">
        <v>69</v>
      </c>
    </row>
    <row r="12" spans="2:6" x14ac:dyDescent="0.25">
      <c r="B12" s="9" t="s">
        <v>70</v>
      </c>
      <c r="C12" s="5" t="s">
        <v>71</v>
      </c>
      <c r="D12" s="6" t="s">
        <v>55</v>
      </c>
      <c r="E12" s="6">
        <v>0</v>
      </c>
      <c r="F12" s="4" t="s">
        <v>64</v>
      </c>
    </row>
    <row r="13" spans="2:6" x14ac:dyDescent="0.25">
      <c r="B13" s="18" t="s">
        <v>72</v>
      </c>
      <c r="C13" s="5" t="s">
        <v>73</v>
      </c>
      <c r="D13" s="6">
        <v>0.5</v>
      </c>
      <c r="E13" s="7">
        <v>0</v>
      </c>
      <c r="F13" s="4" t="s">
        <v>74</v>
      </c>
    </row>
    <row r="14" spans="2:6" x14ac:dyDescent="0.25">
      <c r="B14" s="18"/>
      <c r="C14" s="5" t="s">
        <v>75</v>
      </c>
      <c r="D14" s="6" t="s">
        <v>76</v>
      </c>
      <c r="E14" s="6">
        <v>0</v>
      </c>
      <c r="F14" s="4"/>
    </row>
    <row r="15" spans="2:6" x14ac:dyDescent="0.25">
      <c r="B15" s="18"/>
      <c r="C15" s="5" t="s">
        <v>77</v>
      </c>
      <c r="D15" s="6" t="s">
        <v>78</v>
      </c>
      <c r="E15" s="7">
        <v>0</v>
      </c>
      <c r="F15" s="4"/>
    </row>
    <row r="16" spans="2:6" x14ac:dyDescent="0.25">
      <c r="B16" s="18"/>
      <c r="C16" s="5" t="s">
        <v>79</v>
      </c>
      <c r="D16" s="6" t="s">
        <v>78</v>
      </c>
      <c r="E16" s="6">
        <v>0</v>
      </c>
      <c r="F16" s="4"/>
    </row>
    <row r="17" spans="2:6" x14ac:dyDescent="0.25">
      <c r="B17" s="18"/>
      <c r="C17" s="5" t="s">
        <v>80</v>
      </c>
      <c r="D17" s="6">
        <v>1</v>
      </c>
      <c r="E17" s="7">
        <v>0</v>
      </c>
      <c r="F17" s="4" t="s">
        <v>81</v>
      </c>
    </row>
    <row r="18" spans="2:6" x14ac:dyDescent="0.25">
      <c r="B18" s="18"/>
      <c r="C18" s="5" t="s">
        <v>82</v>
      </c>
      <c r="D18" s="6" t="s">
        <v>78</v>
      </c>
      <c r="E18" s="6">
        <v>0</v>
      </c>
      <c r="F18" s="4" t="s">
        <v>64</v>
      </c>
    </row>
    <row r="19" spans="2:6" x14ac:dyDescent="0.25">
      <c r="B19" s="18"/>
      <c r="C19" s="5" t="s">
        <v>83</v>
      </c>
      <c r="D19" s="6" t="s">
        <v>84</v>
      </c>
      <c r="E19" s="7">
        <v>0</v>
      </c>
      <c r="F19" s="4"/>
    </row>
    <row r="20" spans="2:6" x14ac:dyDescent="0.25">
      <c r="B20" s="18"/>
      <c r="C20" s="5" t="s">
        <v>85</v>
      </c>
      <c r="D20" s="6" t="s">
        <v>84</v>
      </c>
      <c r="E20" s="6">
        <v>0</v>
      </c>
      <c r="F20" s="4" t="s">
        <v>86</v>
      </c>
    </row>
    <row r="21" spans="2:6" x14ac:dyDescent="0.25">
      <c r="B21" s="9" t="s">
        <v>102</v>
      </c>
      <c r="C21" s="5" t="s">
        <v>103</v>
      </c>
      <c r="D21" s="6" t="s">
        <v>104</v>
      </c>
      <c r="E21" s="6">
        <v>0</v>
      </c>
      <c r="F21" s="4"/>
    </row>
    <row r="22" spans="2:6" x14ac:dyDescent="0.25">
      <c r="B22" s="18" t="s">
        <v>87</v>
      </c>
      <c r="C22" s="5" t="s">
        <v>88</v>
      </c>
      <c r="D22" s="7"/>
      <c r="E22" s="7">
        <v>0</v>
      </c>
      <c r="F22" s="4"/>
    </row>
    <row r="23" spans="2:6" x14ac:dyDescent="0.25">
      <c r="B23" s="18"/>
      <c r="C23" s="5" t="s">
        <v>89</v>
      </c>
      <c r="D23" s="7"/>
      <c r="E23" s="6">
        <v>0</v>
      </c>
      <c r="F23" s="4"/>
    </row>
    <row r="24" spans="2:6" x14ac:dyDescent="0.25">
      <c r="B24" s="18" t="s">
        <v>90</v>
      </c>
      <c r="C24" s="5" t="s">
        <v>91</v>
      </c>
      <c r="D24" s="6" t="s">
        <v>55</v>
      </c>
      <c r="E24" s="7">
        <v>0</v>
      </c>
      <c r="F24" s="4" t="s">
        <v>64</v>
      </c>
    </row>
    <row r="25" spans="2:6" x14ac:dyDescent="0.25">
      <c r="B25" s="18"/>
      <c r="C25" s="5" t="s">
        <v>92</v>
      </c>
      <c r="D25" s="6" t="s">
        <v>78</v>
      </c>
      <c r="E25" s="6">
        <v>0</v>
      </c>
      <c r="F25" s="4"/>
    </row>
    <row r="26" spans="2:6" x14ac:dyDescent="0.25">
      <c r="B26" s="18"/>
      <c r="C26" s="5" t="s">
        <v>93</v>
      </c>
      <c r="D26" s="6" t="s">
        <v>94</v>
      </c>
      <c r="E26" s="7">
        <v>0</v>
      </c>
      <c r="F26" s="4" t="s">
        <v>95</v>
      </c>
    </row>
    <row r="27" spans="2:6" x14ac:dyDescent="0.25">
      <c r="B27" s="18"/>
      <c r="C27" s="5" t="s">
        <v>96</v>
      </c>
      <c r="D27" s="6" t="s">
        <v>78</v>
      </c>
      <c r="E27" s="6">
        <v>0</v>
      </c>
      <c r="F27" s="4"/>
    </row>
    <row r="29" spans="2:6" x14ac:dyDescent="0.25">
      <c r="C29" s="10" t="s">
        <v>97</v>
      </c>
      <c r="D29" s="11">
        <f>SUM(D2:D27)</f>
        <v>15.5</v>
      </c>
      <c r="E29" s="11">
        <f>SUM(E2:E27)</f>
        <v>0</v>
      </c>
    </row>
  </sheetData>
  <mergeCells count="5">
    <mergeCell ref="B2:B8"/>
    <mergeCell ref="B9:B11"/>
    <mergeCell ref="B13:B20"/>
    <mergeCell ref="B22:B23"/>
    <mergeCell ref="B24:B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16"/>
  <sheetViews>
    <sheetView topLeftCell="C1" workbookViewId="0">
      <selection activeCell="C2" sqref="C2:Q16"/>
    </sheetView>
  </sheetViews>
  <sheetFormatPr baseColWidth="10" defaultRowHeight="15" x14ac:dyDescent="0.25"/>
  <cols>
    <col min="1" max="1" width="32.42578125" customWidth="1"/>
    <col min="2" max="2" width="54.85546875" customWidth="1"/>
    <col min="16" max="16" width="19.5703125" bestFit="1" customWidth="1"/>
  </cols>
  <sheetData>
    <row r="1" spans="1:17" ht="19.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spans="1:17" ht="15.75" thickBot="1" x14ac:dyDescent="0.3">
      <c r="A2" s="2" t="s">
        <v>17</v>
      </c>
      <c r="B2" s="3" t="s">
        <v>18</v>
      </c>
      <c r="C2" s="14">
        <v>9</v>
      </c>
      <c r="D2" s="14">
        <v>9</v>
      </c>
      <c r="E2" s="14">
        <v>9</v>
      </c>
      <c r="F2" s="14">
        <v>9</v>
      </c>
      <c r="G2" s="14">
        <v>9</v>
      </c>
      <c r="H2" s="14">
        <v>0</v>
      </c>
      <c r="I2" s="14">
        <v>0</v>
      </c>
      <c r="J2" s="14">
        <v>0</v>
      </c>
      <c r="K2" s="14">
        <v>9</v>
      </c>
      <c r="L2" s="14">
        <v>9</v>
      </c>
      <c r="M2" s="14">
        <v>9</v>
      </c>
      <c r="N2" s="14">
        <v>0</v>
      </c>
      <c r="O2" s="14">
        <v>9</v>
      </c>
      <c r="P2" s="14">
        <v>0</v>
      </c>
      <c r="Q2" s="14">
        <v>9</v>
      </c>
    </row>
    <row r="3" spans="1:17" ht="30.75" thickBot="1" x14ac:dyDescent="0.3">
      <c r="A3" s="2" t="s">
        <v>19</v>
      </c>
      <c r="B3" s="3" t="s">
        <v>20</v>
      </c>
      <c r="C3" s="14">
        <v>18</v>
      </c>
      <c r="D3" s="14">
        <v>18</v>
      </c>
      <c r="E3" s="14">
        <v>18</v>
      </c>
      <c r="F3" s="14">
        <v>18</v>
      </c>
      <c r="G3" s="14">
        <v>18</v>
      </c>
      <c r="H3" s="14">
        <v>0</v>
      </c>
      <c r="I3" s="14">
        <v>0</v>
      </c>
      <c r="J3" s="14">
        <v>0</v>
      </c>
      <c r="K3" s="14">
        <v>18</v>
      </c>
      <c r="L3" s="14">
        <v>18</v>
      </c>
      <c r="M3" s="14">
        <v>18</v>
      </c>
      <c r="N3" s="14">
        <v>0</v>
      </c>
      <c r="O3" s="14">
        <v>18</v>
      </c>
      <c r="P3" s="14">
        <v>0</v>
      </c>
      <c r="Q3" s="14">
        <v>18</v>
      </c>
    </row>
    <row r="4" spans="1:17" ht="45.75" thickBot="1" x14ac:dyDescent="0.3">
      <c r="A4" s="2" t="s">
        <v>21</v>
      </c>
      <c r="B4" s="3" t="s">
        <v>22</v>
      </c>
      <c r="C4" s="14">
        <v>27</v>
      </c>
      <c r="D4" s="14">
        <v>27</v>
      </c>
      <c r="E4" s="14">
        <v>27</v>
      </c>
      <c r="F4" s="14">
        <v>27</v>
      </c>
      <c r="G4" s="14">
        <v>27</v>
      </c>
      <c r="H4" s="14">
        <v>0</v>
      </c>
      <c r="I4" s="14">
        <v>0</v>
      </c>
      <c r="J4" s="14">
        <v>0</v>
      </c>
      <c r="K4" s="14">
        <v>27</v>
      </c>
      <c r="L4" s="14">
        <v>27</v>
      </c>
      <c r="M4" s="14">
        <v>27</v>
      </c>
      <c r="N4" s="14">
        <v>0</v>
      </c>
      <c r="O4" s="14">
        <v>27</v>
      </c>
      <c r="P4" s="14">
        <v>0</v>
      </c>
      <c r="Q4" s="14">
        <v>27</v>
      </c>
    </row>
    <row r="5" spans="1:17" ht="45.75" thickBot="1" x14ac:dyDescent="0.3">
      <c r="A5" s="2" t="s">
        <v>23</v>
      </c>
      <c r="B5" s="3" t="s">
        <v>24</v>
      </c>
      <c r="C5" s="14">
        <v>9</v>
      </c>
      <c r="D5" s="14">
        <v>9</v>
      </c>
      <c r="E5" s="14">
        <v>9</v>
      </c>
      <c r="F5" s="14">
        <v>9</v>
      </c>
      <c r="G5" s="14">
        <v>0</v>
      </c>
      <c r="H5" s="14">
        <v>9</v>
      </c>
      <c r="I5" s="14">
        <v>9</v>
      </c>
      <c r="J5" s="14">
        <v>9</v>
      </c>
      <c r="K5" s="14">
        <v>0</v>
      </c>
      <c r="L5" s="14">
        <v>0</v>
      </c>
      <c r="M5" s="14">
        <v>9</v>
      </c>
      <c r="N5" s="14">
        <v>9</v>
      </c>
      <c r="O5" s="14">
        <v>9</v>
      </c>
      <c r="P5" s="14">
        <v>0</v>
      </c>
      <c r="Q5" s="14">
        <v>9</v>
      </c>
    </row>
    <row r="6" spans="1:17" ht="75.75" thickBot="1" x14ac:dyDescent="0.3">
      <c r="A6" s="2" t="s">
        <v>25</v>
      </c>
      <c r="B6" s="3" t="s">
        <v>26</v>
      </c>
      <c r="C6" s="14">
        <v>27</v>
      </c>
      <c r="D6" s="14">
        <v>27</v>
      </c>
      <c r="E6" s="14">
        <v>27</v>
      </c>
      <c r="F6" s="14">
        <v>27</v>
      </c>
      <c r="G6" s="14">
        <v>0</v>
      </c>
      <c r="H6" s="14">
        <v>27</v>
      </c>
      <c r="I6" s="14">
        <v>27</v>
      </c>
      <c r="J6" s="14">
        <v>27</v>
      </c>
      <c r="K6" s="14">
        <v>0</v>
      </c>
      <c r="L6" s="14">
        <v>0</v>
      </c>
      <c r="M6" s="14">
        <v>27</v>
      </c>
      <c r="N6" s="14">
        <v>27</v>
      </c>
      <c r="O6" s="14">
        <v>27</v>
      </c>
      <c r="P6" s="14">
        <v>0</v>
      </c>
      <c r="Q6" s="14">
        <v>27</v>
      </c>
    </row>
    <row r="7" spans="1:17" ht="60.75" thickBot="1" x14ac:dyDescent="0.3">
      <c r="A7" s="2" t="s">
        <v>27</v>
      </c>
      <c r="B7" s="3" t="s">
        <v>28</v>
      </c>
      <c r="C7" s="14">
        <v>45</v>
      </c>
      <c r="D7" s="14">
        <v>45</v>
      </c>
      <c r="E7" s="14">
        <v>45</v>
      </c>
      <c r="F7" s="14">
        <v>45</v>
      </c>
      <c r="G7" s="14">
        <v>0</v>
      </c>
      <c r="H7" s="14">
        <v>45</v>
      </c>
      <c r="I7" s="14">
        <v>45</v>
      </c>
      <c r="J7" s="14">
        <v>45</v>
      </c>
      <c r="K7" s="14">
        <v>0</v>
      </c>
      <c r="L7" s="14">
        <v>0</v>
      </c>
      <c r="M7" s="14">
        <v>45</v>
      </c>
      <c r="N7" s="14">
        <v>45</v>
      </c>
      <c r="O7" s="14">
        <v>45</v>
      </c>
      <c r="P7" s="14">
        <v>0</v>
      </c>
      <c r="Q7" s="14">
        <v>45</v>
      </c>
    </row>
    <row r="8" spans="1:17" ht="30.75" thickBot="1" x14ac:dyDescent="0.3">
      <c r="A8" s="2" t="s">
        <v>29</v>
      </c>
      <c r="B8" s="3" t="s">
        <v>30</v>
      </c>
      <c r="C8" s="14">
        <v>9</v>
      </c>
      <c r="D8" s="14">
        <v>9</v>
      </c>
      <c r="E8" s="14">
        <v>9</v>
      </c>
      <c r="F8" s="14">
        <v>9</v>
      </c>
      <c r="G8" s="14">
        <v>0</v>
      </c>
      <c r="H8" s="14">
        <v>9</v>
      </c>
      <c r="I8" s="14">
        <v>9</v>
      </c>
      <c r="J8" s="14">
        <v>9</v>
      </c>
      <c r="K8" s="14">
        <v>0</v>
      </c>
      <c r="L8" s="14">
        <v>0</v>
      </c>
      <c r="M8" s="14">
        <v>9</v>
      </c>
      <c r="N8" s="14">
        <v>0</v>
      </c>
      <c r="O8" s="14">
        <v>9</v>
      </c>
      <c r="P8" s="14">
        <v>0</v>
      </c>
      <c r="Q8" s="14">
        <v>9</v>
      </c>
    </row>
    <row r="9" spans="1:17" ht="30.75" thickBot="1" x14ac:dyDescent="0.3">
      <c r="A9" s="2" t="s">
        <v>31</v>
      </c>
      <c r="B9" s="3" t="s">
        <v>32</v>
      </c>
      <c r="C9" s="14">
        <v>27</v>
      </c>
      <c r="D9" s="14">
        <v>27</v>
      </c>
      <c r="E9" s="14">
        <v>27</v>
      </c>
      <c r="F9" s="14">
        <v>27</v>
      </c>
      <c r="G9" s="14">
        <v>0</v>
      </c>
      <c r="H9" s="14">
        <v>27</v>
      </c>
      <c r="I9" s="14">
        <v>27</v>
      </c>
      <c r="J9" s="14">
        <v>27</v>
      </c>
      <c r="K9" s="14">
        <v>0</v>
      </c>
      <c r="L9" s="14">
        <v>0</v>
      </c>
      <c r="M9" s="14">
        <v>27</v>
      </c>
      <c r="N9" s="14">
        <v>0</v>
      </c>
      <c r="O9" s="14">
        <v>27</v>
      </c>
      <c r="P9" s="14">
        <v>0</v>
      </c>
      <c r="Q9" s="14">
        <v>27</v>
      </c>
    </row>
    <row r="10" spans="1:17" ht="45.75" thickBot="1" x14ac:dyDescent="0.3">
      <c r="A10" s="2" t="s">
        <v>33</v>
      </c>
      <c r="B10" s="3" t="s">
        <v>34</v>
      </c>
      <c r="C10" s="14">
        <v>45</v>
      </c>
      <c r="D10" s="14">
        <v>45</v>
      </c>
      <c r="E10" s="14">
        <v>45</v>
      </c>
      <c r="F10" s="14">
        <v>45</v>
      </c>
      <c r="G10" s="14">
        <v>0</v>
      </c>
      <c r="H10" s="14">
        <v>45</v>
      </c>
      <c r="I10" s="14">
        <v>45</v>
      </c>
      <c r="J10" s="14">
        <v>45</v>
      </c>
      <c r="K10" s="14">
        <v>0</v>
      </c>
      <c r="L10" s="14">
        <v>0</v>
      </c>
      <c r="M10" s="14">
        <v>45</v>
      </c>
      <c r="N10" s="14">
        <v>0</v>
      </c>
      <c r="O10" s="14">
        <v>45</v>
      </c>
      <c r="P10" s="14">
        <v>0</v>
      </c>
      <c r="Q10" s="14">
        <v>45</v>
      </c>
    </row>
    <row r="11" spans="1:17" ht="30.75" thickBot="1" x14ac:dyDescent="0.3">
      <c r="A11" s="2" t="s">
        <v>35</v>
      </c>
      <c r="B11" s="3" t="s">
        <v>36</v>
      </c>
      <c r="C11" s="14">
        <v>9</v>
      </c>
      <c r="D11" s="14">
        <v>9</v>
      </c>
      <c r="E11" s="14">
        <v>9</v>
      </c>
      <c r="F11" s="14">
        <v>9</v>
      </c>
      <c r="G11" s="14">
        <v>0</v>
      </c>
      <c r="H11" s="14">
        <v>9</v>
      </c>
      <c r="I11" s="14">
        <v>9</v>
      </c>
      <c r="J11" s="14">
        <v>0</v>
      </c>
      <c r="K11" s="14">
        <v>0</v>
      </c>
      <c r="L11" s="14">
        <v>0</v>
      </c>
      <c r="M11" s="14">
        <v>9</v>
      </c>
      <c r="N11" s="14">
        <v>0</v>
      </c>
      <c r="O11" s="14">
        <v>9</v>
      </c>
      <c r="P11" s="14">
        <v>0</v>
      </c>
      <c r="Q11" s="14">
        <v>9</v>
      </c>
    </row>
    <row r="12" spans="1:17" ht="30.75" thickBot="1" x14ac:dyDescent="0.3">
      <c r="A12" s="2" t="s">
        <v>37</v>
      </c>
      <c r="B12" s="3" t="s">
        <v>38</v>
      </c>
      <c r="C12" s="14">
        <v>27</v>
      </c>
      <c r="D12" s="14">
        <v>27</v>
      </c>
      <c r="E12" s="14">
        <v>27</v>
      </c>
      <c r="F12" s="14">
        <v>27</v>
      </c>
      <c r="G12" s="14">
        <v>0</v>
      </c>
      <c r="H12" s="14">
        <v>27</v>
      </c>
      <c r="I12" s="14">
        <v>27</v>
      </c>
      <c r="J12" s="14">
        <v>0</v>
      </c>
      <c r="K12" s="14">
        <v>0</v>
      </c>
      <c r="L12" s="14">
        <v>0</v>
      </c>
      <c r="M12" s="14">
        <v>27</v>
      </c>
      <c r="N12" s="14">
        <v>0</v>
      </c>
      <c r="O12" s="14">
        <v>27</v>
      </c>
      <c r="P12" s="14">
        <v>0</v>
      </c>
      <c r="Q12" s="14">
        <v>27</v>
      </c>
    </row>
    <row r="13" spans="1:17" ht="30.75" thickBot="1" x14ac:dyDescent="0.3">
      <c r="A13" s="2" t="s">
        <v>39</v>
      </c>
      <c r="B13" s="3" t="s">
        <v>40</v>
      </c>
      <c r="C13" s="14">
        <v>45</v>
      </c>
      <c r="D13" s="14">
        <v>45</v>
      </c>
      <c r="E13" s="14">
        <v>45</v>
      </c>
      <c r="F13" s="14">
        <v>45</v>
      </c>
      <c r="G13" s="14">
        <v>0</v>
      </c>
      <c r="H13" s="14">
        <v>45</v>
      </c>
      <c r="I13" s="14">
        <v>45</v>
      </c>
      <c r="J13" s="14">
        <v>0</v>
      </c>
      <c r="K13" s="14">
        <v>0</v>
      </c>
      <c r="L13" s="14">
        <v>0</v>
      </c>
      <c r="M13" s="14">
        <v>45</v>
      </c>
      <c r="N13" s="14">
        <v>0</v>
      </c>
      <c r="O13" s="14">
        <v>45</v>
      </c>
      <c r="P13" s="14">
        <v>0</v>
      </c>
      <c r="Q13" s="14">
        <v>45</v>
      </c>
    </row>
    <row r="14" spans="1:17" ht="30.75" thickBot="1" x14ac:dyDescent="0.3">
      <c r="A14" s="2" t="s">
        <v>41</v>
      </c>
      <c r="B14" s="3" t="s">
        <v>42</v>
      </c>
      <c r="C14" s="14">
        <v>9</v>
      </c>
      <c r="D14" s="14">
        <v>9</v>
      </c>
      <c r="E14" s="14">
        <v>9</v>
      </c>
      <c r="F14" s="14">
        <v>9</v>
      </c>
      <c r="G14" s="14">
        <v>0</v>
      </c>
      <c r="H14" s="14">
        <v>9</v>
      </c>
      <c r="I14" s="14">
        <v>9</v>
      </c>
      <c r="J14" s="14">
        <v>0</v>
      </c>
      <c r="K14" s="14">
        <v>0</v>
      </c>
      <c r="L14" s="14">
        <v>0</v>
      </c>
      <c r="M14" s="15">
        <v>9</v>
      </c>
      <c r="N14" s="14"/>
      <c r="O14" s="15">
        <v>9</v>
      </c>
      <c r="P14" s="15">
        <v>9</v>
      </c>
      <c r="Q14" s="14">
        <v>9</v>
      </c>
    </row>
    <row r="15" spans="1:17" ht="30.75" thickBot="1" x14ac:dyDescent="0.3">
      <c r="A15" s="2" t="s">
        <v>43</v>
      </c>
      <c r="B15" s="3" t="s">
        <v>44</v>
      </c>
      <c r="C15" s="14">
        <v>27</v>
      </c>
      <c r="D15" s="14">
        <v>27</v>
      </c>
      <c r="E15" s="14">
        <v>27</v>
      </c>
      <c r="F15" s="14">
        <v>27</v>
      </c>
      <c r="G15" s="14">
        <v>0</v>
      </c>
      <c r="H15" s="14">
        <v>27</v>
      </c>
      <c r="I15" s="14">
        <v>27</v>
      </c>
      <c r="J15" s="14">
        <v>0</v>
      </c>
      <c r="K15" s="14">
        <v>0</v>
      </c>
      <c r="L15" s="14">
        <v>0</v>
      </c>
      <c r="M15" s="15">
        <v>27</v>
      </c>
      <c r="N15" s="14"/>
      <c r="O15" s="15">
        <v>27</v>
      </c>
      <c r="P15" s="15">
        <v>27</v>
      </c>
      <c r="Q15" s="14">
        <v>27</v>
      </c>
    </row>
    <row r="16" spans="1:17" ht="45.75" thickBot="1" x14ac:dyDescent="0.3">
      <c r="A16" s="2" t="s">
        <v>43</v>
      </c>
      <c r="B16" s="3" t="s">
        <v>45</v>
      </c>
      <c r="C16" s="14">
        <v>45</v>
      </c>
      <c r="D16" s="14">
        <v>45</v>
      </c>
      <c r="E16" s="14">
        <v>45</v>
      </c>
      <c r="F16" s="14">
        <v>45</v>
      </c>
      <c r="G16" s="14">
        <v>0</v>
      </c>
      <c r="H16" s="14">
        <v>45</v>
      </c>
      <c r="I16" s="14">
        <v>45</v>
      </c>
      <c r="J16" s="14">
        <v>0</v>
      </c>
      <c r="K16" s="14">
        <v>0</v>
      </c>
      <c r="L16" s="14">
        <v>0</v>
      </c>
      <c r="M16" s="15">
        <v>45</v>
      </c>
      <c r="N16" s="14"/>
      <c r="O16" s="15">
        <v>45</v>
      </c>
      <c r="P16" s="15">
        <v>45</v>
      </c>
      <c r="Q16" s="14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Hoja1</vt:lpstr>
      <vt:lpstr>Tiempos</vt:lpstr>
      <vt:lpstr>Documentación</vt:lpstr>
      <vt:lpstr>Lista</vt:lpstr>
      <vt:lpstr>Comentarios</vt:lpstr>
      <vt:lpstr>Componentes</vt:lpstr>
      <vt:lpstr>Tecnologias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Julian Herrera</cp:lastModifiedBy>
  <dcterms:created xsi:type="dcterms:W3CDTF">2016-12-01T22:28:08Z</dcterms:created>
  <dcterms:modified xsi:type="dcterms:W3CDTF">2017-04-26T19:08:41Z</dcterms:modified>
</cp:coreProperties>
</file>